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f6773f79d02873e/Bureau/CEGEP V-MTL/Outils de gestion et de soutien/Projet Excel/"/>
    </mc:Choice>
  </mc:AlternateContent>
  <xr:revisionPtr revIDLastSave="0" documentId="8_{5F8A3930-279A-4FBF-9966-299890942F9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Animation du graphique" sheetId="6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9" i="6" l="1"/>
  <c r="Y22" i="6"/>
  <c r="Y23" i="6"/>
  <c r="Y21" i="6"/>
  <c r="Y20" i="6"/>
</calcChain>
</file>

<file path=xl/sharedStrings.xml><?xml version="1.0" encoding="utf-8"?>
<sst xmlns="http://schemas.openxmlformats.org/spreadsheetml/2006/main" count="49" uniqueCount="45">
  <si>
    <t>Comment animer un graphique dans Excel</t>
  </si>
  <si>
    <r>
      <rPr>
        <i/>
        <sz val="11"/>
        <color theme="1"/>
        <rFont val="Calibri"/>
        <family val="2"/>
        <scheme val="minor"/>
      </rPr>
      <t>Excel</t>
    </r>
    <r>
      <rPr>
        <sz val="11"/>
        <color theme="1"/>
        <rFont val="Calibri"/>
        <family val="2"/>
        <scheme val="minor"/>
      </rPr>
      <t xml:space="preserve"> n'offre pas d'outil permettant d'animer directement un graphique.  Il importe donc de programmer un tel outil en tirant avantage de la façon dont sont conçu les graphiques.</t>
    </r>
  </si>
  <si>
    <t>L'idée est relativement simple et se fait en 3 étapes :</t>
  </si>
  <si>
    <t>1. Créer un graphique en utilisant une plage de données bien définie</t>
  </si>
  <si>
    <t>2. À interval régulier, modifier les données de la plage de façon à représenter chaque étape de l'animation désirée. Pour ce projet, les données de la trajectoire déjà calculée précédemment.</t>
  </si>
  <si>
    <r>
      <t xml:space="preserve">Ici, on propose de faire varier uniquement la valeur d'une seule cellule allant de 1 à </t>
    </r>
    <r>
      <rPr>
        <i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afin de servir d'index. La plage utilisée pour le graphique devrait utiliser cet index pour mettre à jour ses valeurs.</t>
    </r>
  </si>
  <si>
    <t>3. Redessiner le graphique</t>
  </si>
  <si>
    <r>
      <t xml:space="preserve">Pour l'animation, il importera de créer un bouton qui déclanchera une petite fonction.  Le code suivant montre quel doit être le contenu de la fonction en </t>
    </r>
    <r>
      <rPr>
        <i/>
        <sz val="11"/>
        <color theme="1"/>
        <rFont val="Calibri"/>
        <family val="2"/>
        <scheme val="minor"/>
      </rPr>
      <t>VBA</t>
    </r>
    <r>
      <rPr>
        <sz val="11"/>
        <color theme="1"/>
        <rFont val="Calibri"/>
        <family val="2"/>
        <scheme val="minor"/>
      </rPr>
      <t>.  Pour cette partie, n'hésitez à demander à l'enseignant de vous guider.</t>
    </r>
  </si>
  <si>
    <t>' -------------------------------------------------------------------------</t>
  </si>
  <si>
    <t>Exemple d'animation</t>
  </si>
  <si>
    <t>' VBA - Les commentaires débutent par un apostrophe</t>
  </si>
  <si>
    <t>' Changer les champs suivants pour vos cellules et plages correspondantes :</t>
  </si>
  <si>
    <t>Index courant</t>
  </si>
  <si>
    <t xml:space="preserve">   &lt;--- Ici la cellule A3 de l'exemple</t>
  </si>
  <si>
    <t>'   - A1 = La cellule où se trouve l'index minimum de la simulation (1)</t>
  </si>
  <si>
    <t>Index min</t>
  </si>
  <si>
    <t xml:space="preserve">   &lt;--- Ici la cellule A1 de l'exemple</t>
  </si>
  <si>
    <t>'   - A2 = La cellule où se trouve l'index maximum de la simulation (1000)</t>
  </si>
  <si>
    <t>Index max</t>
  </si>
  <si>
    <t xml:space="preserve">   &lt;--- Ici la cellule A2 de l'exemple</t>
  </si>
  <si>
    <t>'   - A3 = La cellule réceptrice de la valeur courante de l'index</t>
  </si>
  <si>
    <t>'   - J1:M10 = La plage des cellules à recalculer pour le graphique</t>
  </si>
  <si>
    <t>'   - GraphToAnimate = Le nom du graphique (voir l'onglet Disposition)</t>
  </si>
  <si>
    <t>Artryx</t>
  </si>
  <si>
    <t>Phartalaf</t>
  </si>
  <si>
    <t>Option Explicit</t>
  </si>
  <si>
    <t>Somnizol</t>
  </si>
  <si>
    <t>Option Base 0</t>
  </si>
  <si>
    <r>
      <rPr>
        <b/>
        <sz val="10"/>
        <color rgb="FF0000C4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Startsimulation()</t>
    </r>
  </si>
  <si>
    <t>Ici le tableau de données précalculées ---&gt;</t>
  </si>
  <si>
    <t>Ici la plage J1:M10 de l'exemple ---&gt;</t>
  </si>
  <si>
    <r>
      <t xml:space="preserve">    </t>
    </r>
    <r>
      <rPr>
        <b/>
        <sz val="10"/>
        <color rgb="FF0000C4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i </t>
    </r>
    <r>
      <rPr>
        <b/>
        <sz val="10"/>
        <color rgb="FF0000C4"/>
        <rFont val="Courier New"/>
        <family val="3"/>
      </rPr>
      <t>As Integer</t>
    </r>
  </si>
  <si>
    <r>
      <t xml:space="preserve">    </t>
    </r>
    <r>
      <rPr>
        <b/>
        <sz val="10"/>
        <color rgb="FF0000C4"/>
        <rFont val="Courier New"/>
        <family val="3"/>
      </rPr>
      <t>For</t>
    </r>
    <r>
      <rPr>
        <b/>
        <sz val="10"/>
        <color theme="1"/>
        <rFont val="Courier New"/>
        <family val="3"/>
      </rPr>
      <t xml:space="preserve"> i = Range("A1").Value </t>
    </r>
    <r>
      <rPr>
        <b/>
        <sz val="10"/>
        <color rgb="FF0000C4"/>
        <rFont val="Courier New"/>
        <family val="3"/>
      </rPr>
      <t>To</t>
    </r>
    <r>
      <rPr>
        <b/>
        <sz val="10"/>
        <color theme="1"/>
        <rFont val="Courier New"/>
        <family val="3"/>
      </rPr>
      <t xml:space="preserve"> Range("A2").Value</t>
    </r>
  </si>
  <si>
    <t xml:space="preserve">        Range("A3").Value = i</t>
  </si>
  <si>
    <t xml:space="preserve">        Application.ActiveSheet.Range("J1", "M10").Calculate</t>
  </si>
  <si>
    <t xml:space="preserve">        ActiveSheet.ChartObjects("GraphToAnimate").Application.Calculate</t>
  </si>
  <si>
    <t xml:space="preserve">        'WaitFor (1)</t>
  </si>
  <si>
    <r>
      <t xml:space="preserve">    </t>
    </r>
    <r>
      <rPr>
        <b/>
        <sz val="10"/>
        <color rgb="FF0000C4"/>
        <rFont val="Courier New"/>
        <family val="3"/>
      </rPr>
      <t>Next</t>
    </r>
    <r>
      <rPr>
        <b/>
        <sz val="10"/>
        <rFont val="Courier New"/>
        <family val="3"/>
      </rPr>
      <t xml:space="preserve"> i</t>
    </r>
  </si>
  <si>
    <t>End Sub</t>
  </si>
  <si>
    <r>
      <rPr>
        <b/>
        <sz val="10"/>
        <color rgb="FF0000FF"/>
        <rFont val="Courier New"/>
        <family val="3"/>
      </rPr>
      <t>Sub</t>
    </r>
    <r>
      <rPr>
        <b/>
        <sz val="10"/>
        <color theme="1"/>
        <rFont val="Courier New"/>
        <family val="3"/>
      </rPr>
      <t xml:space="preserve"> WaitFor(sec)</t>
    </r>
  </si>
  <si>
    <r>
      <t xml:space="preserve">    </t>
    </r>
    <r>
      <rPr>
        <b/>
        <sz val="10"/>
        <color rgb="FF0000FF"/>
        <rFont val="Courier New"/>
        <family val="3"/>
      </rPr>
      <t>Dim</t>
    </r>
    <r>
      <rPr>
        <b/>
        <sz val="10"/>
        <color theme="1"/>
        <rFont val="Courier New"/>
        <family val="3"/>
      </rPr>
      <t xml:space="preserve"> rightNow </t>
    </r>
    <r>
      <rPr>
        <b/>
        <sz val="10"/>
        <color rgb="FF0000FF"/>
        <rFont val="Courier New"/>
        <family val="3"/>
      </rPr>
      <t>As Date</t>
    </r>
  </si>
  <si>
    <t xml:space="preserve">    rightNow = Now()</t>
  </si>
  <si>
    <t xml:space="preserve">    Application.Wait TimeSerial(Hour(rightNow), Minute(rightNow), second(rightNow) + sec)</t>
  </si>
  <si>
    <t>Cet exemple utilise un délais de 1 seconde entre chaque étape d'animation.</t>
  </si>
  <si>
    <t>DoEvents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</si>
</sst>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sz val="10"/>
      <color rgb="FF008000"/>
      <name val="Courier New"/>
      <family val="3"/>
    </font>
    <font>
      <b/>
      <sz val="10"/>
      <color theme="1"/>
      <name val="Courier New"/>
      <family val="3"/>
    </font>
    <font>
      <b/>
      <sz val="10"/>
      <color rgb="FF0000FF"/>
      <name val="Courier New"/>
      <family val="3"/>
    </font>
    <font>
      <b/>
      <sz val="10"/>
      <color rgb="FF0000C4"/>
      <name val="Courier New"/>
      <family val="3"/>
    </font>
    <font>
      <b/>
      <i/>
      <sz val="14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i/>
      <sz val="10"/>
      <color theme="7" tint="-0.249977111117893"/>
      <name val="Calibri"/>
      <family val="2"/>
      <scheme val="minor"/>
    </font>
    <font>
      <b/>
      <sz val="10"/>
      <name val="Courier New"/>
      <family val="3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1EFF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thin">
        <color theme="5" tint="-0.499984740745262"/>
      </bottom>
      <diagonal/>
    </border>
    <border>
      <left/>
      <right/>
      <top style="thin">
        <color theme="5" tint="-0.499984740745262"/>
      </top>
      <bottom style="medium">
        <color theme="5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/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thin">
        <color theme="7" tint="-0.499984740745262"/>
      </bottom>
      <diagonal/>
    </border>
    <border>
      <left/>
      <right/>
      <top style="thin">
        <color theme="7" tint="-0.499984740745262"/>
      </top>
      <bottom style="medium">
        <color theme="7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4" fillId="0" borderId="0" xfId="0" applyFont="1"/>
    <xf numFmtId="0" fontId="7" fillId="0" borderId="0" xfId="0" applyFont="1"/>
    <xf numFmtId="0" fontId="7" fillId="0" borderId="0" xfId="0" quotePrefix="1" applyFont="1"/>
    <xf numFmtId="0" fontId="8" fillId="0" borderId="0" xfId="0" applyFont="1"/>
    <xf numFmtId="0" fontId="10" fillId="0" borderId="0" xfId="0" applyFont="1"/>
    <xf numFmtId="0" fontId="6" fillId="0" borderId="0" xfId="0" applyFont="1" applyAlignment="1">
      <alignment horizontal="left" vertical="center"/>
    </xf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2" xfId="0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9" fillId="0" borderId="0" xfId="0" applyFont="1"/>
    <xf numFmtId="9" fontId="13" fillId="0" borderId="0" xfId="1" applyFont="1" applyAlignment="1">
      <alignment horizont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0" fillId="2" borderId="12" xfId="0" applyFill="1" applyBorder="1" applyProtection="1">
      <protection locked="0"/>
    </xf>
    <xf numFmtId="9" fontId="0" fillId="2" borderId="12" xfId="0" applyNumberFormat="1" applyFill="1" applyBorder="1" applyAlignment="1" applyProtection="1">
      <alignment horizontal="center"/>
      <protection locked="0"/>
    </xf>
    <xf numFmtId="0" fontId="0" fillId="5" borderId="13" xfId="0" applyFill="1" applyBorder="1" applyProtection="1">
      <protection locked="0"/>
    </xf>
    <xf numFmtId="9" fontId="0" fillId="5" borderId="13" xfId="0" applyNumberFormat="1" applyFill="1" applyBorder="1" applyAlignment="1" applyProtection="1">
      <alignment horizontal="center"/>
      <protection locked="0"/>
    </xf>
    <xf numFmtId="0" fontId="0" fillId="2" borderId="14" xfId="0" applyFill="1" applyBorder="1" applyProtection="1">
      <protection locked="0"/>
    </xf>
    <xf numFmtId="9" fontId="0" fillId="2" borderId="14" xfId="0" applyNumberFormat="1" applyFill="1" applyBorder="1" applyAlignment="1" applyProtection="1">
      <alignment horizontal="center"/>
      <protection locked="0"/>
    </xf>
    <xf numFmtId="0" fontId="3" fillId="6" borderId="0" xfId="0" applyFont="1" applyFill="1" applyAlignment="1" applyProtection="1">
      <alignment horizontal="center"/>
      <protection locked="0"/>
    </xf>
    <xf numFmtId="9" fontId="0" fillId="7" borderId="15" xfId="0" applyNumberFormat="1" applyFill="1" applyBorder="1" applyAlignment="1" applyProtection="1">
      <alignment horizontal="center"/>
      <protection locked="0"/>
    </xf>
    <xf numFmtId="9" fontId="0" fillId="8" borderId="16" xfId="0" applyNumberFormat="1" applyFill="1" applyBorder="1" applyAlignment="1" applyProtection="1">
      <alignment horizontal="center"/>
      <protection locked="0"/>
    </xf>
    <xf numFmtId="9" fontId="0" fillId="7" borderId="17" xfId="0" applyNumberFormat="1" applyFill="1" applyBorder="1" applyAlignment="1" applyProtection="1">
      <alignment horizontal="center"/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8" fillId="0" borderId="0" xfId="0" applyFont="1" applyAlignment="1">
      <alignment horizontal="left" indent="7"/>
    </xf>
    <xf numFmtId="0" fontId="6" fillId="0" borderId="0" xfId="0" applyFont="1" applyAlignment="1">
      <alignment horizontal="center" vertical="top" textRotation="90" wrapText="1"/>
    </xf>
    <xf numFmtId="0" fontId="6" fillId="0" borderId="0" xfId="0" applyFont="1" applyAlignment="1">
      <alignment horizontal="center" vertical="top" textRotation="90"/>
    </xf>
    <xf numFmtId="0" fontId="11" fillId="0" borderId="0" xfId="0" applyFont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4" xfId="0" applyFont="1" applyBorder="1" applyAlignment="1">
      <alignment horizontal="right"/>
    </xf>
  </cellXfs>
  <cellStyles count="2">
    <cellStyle name="Normal" xfId="0" builtinId="0"/>
    <cellStyle name="Pourcentage" xfId="1" builtinId="5"/>
  </cellStyles>
  <dxfs count="1">
    <dxf>
      <font>
        <b/>
        <i val="0"/>
      </font>
      <border>
        <left style="thin">
          <color theme="4" tint="-0.499984740745262"/>
        </left>
        <right style="thin">
          <color theme="4" tint="-0.499984740745262"/>
        </right>
      </border>
    </dxf>
  </dxfs>
  <tableStyles count="0" defaultTableStyle="TableStyleMedium2" defaultPivotStyle="PivotStyleLight16"/>
  <colors>
    <mruColors>
      <color rgb="FF406B88"/>
      <color rgb="FF0000FF"/>
      <color rgb="FFF1EFF5"/>
      <color rgb="FFECF2F8"/>
      <color rgb="FF0000C4"/>
      <color rgb="FF008000"/>
      <color rgb="FFFFE181"/>
      <color rgb="FF00C400"/>
      <color rgb="FFA6BFDE"/>
      <color rgb="FFC4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31"/>
    </mc:Choice>
    <mc:Fallback>
      <c:style val="3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Évolution des parts de marché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'Animation du graphique'!$Y$20</c:f>
              <c:strCache>
                <c:ptCount val="1"/>
                <c:pt idx="0">
                  <c:v>2014</c:v>
                </c:pt>
              </c:strCache>
            </c:strRef>
          </c:tx>
          <c:invertIfNegative val="0"/>
          <c:cat>
            <c:strRef>
              <c:f>'Animation du graphique'!$O$21:$O$23</c:f>
              <c:strCache>
                <c:ptCount val="3"/>
                <c:pt idx="0">
                  <c:v>Artryx</c:v>
                </c:pt>
                <c:pt idx="1">
                  <c:v>Phartalaf</c:v>
                </c:pt>
                <c:pt idx="2">
                  <c:v>Somnizol</c:v>
                </c:pt>
              </c:strCache>
            </c:strRef>
          </c:cat>
          <c:val>
            <c:numRef>
              <c:f>'Animation du graphique'!$Y$21:$Y$23</c:f>
              <c:numCache>
                <c:formatCode>0%</c:formatCode>
                <c:ptCount val="3"/>
                <c:pt idx="0">
                  <c:v>0.50508842136851928</c:v>
                </c:pt>
                <c:pt idx="1">
                  <c:v>0.1557455587949606</c:v>
                </c:pt>
                <c:pt idx="2">
                  <c:v>0.33916601983652017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3-4DDA-A9C4-872CFD17B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80000"/>
        <c:axId val="126978824"/>
      </c:barChart>
      <c:catAx>
        <c:axId val="12698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6978824"/>
        <c:crosses val="autoZero"/>
        <c:auto val="1"/>
        <c:lblAlgn val="ctr"/>
        <c:lblOffset val="100"/>
        <c:noMultiLvlLbl val="0"/>
      </c:catAx>
      <c:valAx>
        <c:axId val="126978824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0%" sourceLinked="1"/>
        <c:majorTickMark val="out"/>
        <c:minorTickMark val="none"/>
        <c:tickLblPos val="nextTo"/>
        <c:crossAx val="126980000"/>
        <c:crosses val="autoZero"/>
        <c:crossBetween val="between"/>
        <c:majorUnit val="0.25"/>
        <c:minorUnit val="5.000000000000001E-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171450</xdr:colOff>
      <xdr:row>23</xdr:row>
      <xdr:rowOff>142875</xdr:rowOff>
    </xdr:from>
    <xdr:to>
      <xdr:col>20</xdr:col>
      <xdr:colOff>752475</xdr:colOff>
      <xdr:row>38</xdr:row>
      <xdr:rowOff>166687</xdr:rowOff>
    </xdr:to>
    <xdr:graphicFrame macro="">
      <xdr:nvGraphicFramePr>
        <xdr:cNvPr id="3" name="GraphAnimati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15</xdr:row>
          <xdr:rowOff>0</xdr:rowOff>
        </xdr:from>
        <xdr:to>
          <xdr:col>25</xdr:col>
          <xdr:colOff>9525</xdr:colOff>
          <xdr:row>17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l'exemple d'animation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2:Z41"/>
  <sheetViews>
    <sheetView showGridLines="0" tabSelected="1" topLeftCell="A10" zoomScale="85" zoomScaleNormal="85" workbookViewId="0">
      <selection activeCell="C13" sqref="C13"/>
    </sheetView>
  </sheetViews>
  <sheetFormatPr baseColWidth="10" defaultColWidth="11.42578125" defaultRowHeight="15" x14ac:dyDescent="0.25"/>
  <cols>
    <col min="1" max="5" width="3.5703125" customWidth="1"/>
    <col min="13" max="13" width="18.42578125" customWidth="1"/>
    <col min="14" max="14" width="2.85546875" customWidth="1"/>
    <col min="15" max="15" width="13.5703125" customWidth="1"/>
    <col min="24" max="24" width="2.85546875" customWidth="1"/>
    <col min="26" max="26" width="2.85546875" customWidth="1"/>
  </cols>
  <sheetData>
    <row r="2" spans="2:26" ht="21" x14ac:dyDescent="0.35">
      <c r="B2" s="2" t="s">
        <v>0</v>
      </c>
    </row>
    <row r="4" spans="2:26" x14ac:dyDescent="0.25">
      <c r="B4" t="s">
        <v>1</v>
      </c>
    </row>
    <row r="6" spans="2:26" x14ac:dyDescent="0.25">
      <c r="B6" t="s">
        <v>2</v>
      </c>
    </row>
    <row r="7" spans="2:26" ht="15" customHeight="1" x14ac:dyDescent="0.25">
      <c r="C7" t="s">
        <v>3</v>
      </c>
    </row>
    <row r="8" spans="2:26" x14ac:dyDescent="0.25">
      <c r="C8" t="s">
        <v>4</v>
      </c>
    </row>
    <row r="9" spans="2:26" x14ac:dyDescent="0.25">
      <c r="D9" t="s">
        <v>5</v>
      </c>
    </row>
    <row r="10" spans="2:26" ht="15" customHeight="1" x14ac:dyDescent="0.25">
      <c r="C10" t="s">
        <v>6</v>
      </c>
    </row>
    <row r="12" spans="2:26" x14ac:dyDescent="0.25">
      <c r="B12" t="s">
        <v>7</v>
      </c>
    </row>
    <row r="13" spans="2:26" ht="15" customHeight="1" x14ac:dyDescent="0.25">
      <c r="C13" s="3" t="s">
        <v>8</v>
      </c>
      <c r="N13" s="39" t="s">
        <v>9</v>
      </c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x14ac:dyDescent="0.25">
      <c r="C14" s="4" t="s">
        <v>10</v>
      </c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</row>
    <row r="15" spans="2:26" ht="15.75" thickBot="1" x14ac:dyDescent="0.3">
      <c r="C15" s="3" t="s">
        <v>8</v>
      </c>
      <c r="N15" s="10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13"/>
    </row>
    <row r="16" spans="2:26" ht="15.75" thickBot="1" x14ac:dyDescent="0.3">
      <c r="C16" s="3" t="s">
        <v>11</v>
      </c>
      <c r="N16" s="11"/>
      <c r="O16" s="16" t="s">
        <v>12</v>
      </c>
      <c r="P16" s="33">
        <v>2014</v>
      </c>
      <c r="Q16" s="7" t="s">
        <v>13</v>
      </c>
      <c r="Z16" s="14"/>
    </row>
    <row r="17" spans="3:26" x14ac:dyDescent="0.25">
      <c r="C17" s="4" t="s">
        <v>14</v>
      </c>
      <c r="N17" s="11"/>
      <c r="O17" s="17" t="s">
        <v>15</v>
      </c>
      <c r="P17" s="34">
        <v>2007</v>
      </c>
      <c r="Q17" s="7" t="s">
        <v>16</v>
      </c>
      <c r="Z17" s="14"/>
    </row>
    <row r="18" spans="3:26" ht="15.75" thickBot="1" x14ac:dyDescent="0.3">
      <c r="C18" s="4" t="s">
        <v>17</v>
      </c>
      <c r="N18" s="11"/>
      <c r="O18" s="18" t="s">
        <v>18</v>
      </c>
      <c r="P18" s="35">
        <v>2014</v>
      </c>
      <c r="Q18" s="7" t="s">
        <v>19</v>
      </c>
      <c r="Z18" s="14"/>
    </row>
    <row r="19" spans="3:26" x14ac:dyDescent="0.25">
      <c r="C19" s="4" t="s">
        <v>20</v>
      </c>
      <c r="N19" s="11"/>
      <c r="Z19" s="14"/>
    </row>
    <row r="20" spans="3:26" x14ac:dyDescent="0.25">
      <c r="C20" s="4" t="s">
        <v>21</v>
      </c>
      <c r="N20" s="11"/>
      <c r="O20" s="21"/>
      <c r="P20" s="22">
        <v>2007</v>
      </c>
      <c r="Q20" s="22">
        <v>2008</v>
      </c>
      <c r="R20" s="22">
        <v>2009</v>
      </c>
      <c r="S20" s="22">
        <v>2010</v>
      </c>
      <c r="T20" s="22">
        <v>2011</v>
      </c>
      <c r="U20" s="22">
        <v>2012</v>
      </c>
      <c r="V20" s="22">
        <v>2013</v>
      </c>
      <c r="W20" s="22">
        <v>2014</v>
      </c>
      <c r="Y20" s="29">
        <f>P16</f>
        <v>2014</v>
      </c>
      <c r="Z20" s="14"/>
    </row>
    <row r="21" spans="3:26" x14ac:dyDescent="0.25">
      <c r="C21" s="4" t="s">
        <v>22</v>
      </c>
      <c r="N21" s="11"/>
      <c r="O21" s="23" t="s">
        <v>23</v>
      </c>
      <c r="P21" s="24">
        <v>0.03</v>
      </c>
      <c r="Q21" s="24">
        <v>6.8910650258279513E-2</v>
      </c>
      <c r="R21" s="24">
        <v>0.16797991039384053</v>
      </c>
      <c r="S21" s="24">
        <v>0.21955041706959127</v>
      </c>
      <c r="T21" s="24">
        <v>0.32691465161106048</v>
      </c>
      <c r="U21" s="24">
        <v>0.32973463101352418</v>
      </c>
      <c r="V21" s="24">
        <v>0.3573591546366427</v>
      </c>
      <c r="W21" s="24">
        <v>0.50508842136851928</v>
      </c>
      <c r="Y21" s="30">
        <f>INDEX(P21:W21,MATCH($P$16,$P$20:$W$20,0))</f>
        <v>0.50508842136851928</v>
      </c>
      <c r="Z21" s="14"/>
    </row>
    <row r="22" spans="3:26" x14ac:dyDescent="0.25">
      <c r="C22" s="3" t="s">
        <v>8</v>
      </c>
      <c r="N22" s="11"/>
      <c r="O22" s="25" t="s">
        <v>24</v>
      </c>
      <c r="P22" s="26">
        <v>0.75</v>
      </c>
      <c r="Q22" s="26">
        <v>0.68072580638828106</v>
      </c>
      <c r="R22" s="26">
        <v>0.57499725621798148</v>
      </c>
      <c r="S22" s="26">
        <v>0.50879009589246793</v>
      </c>
      <c r="T22" s="26">
        <v>0.38824456948639136</v>
      </c>
      <c r="U22" s="26">
        <v>0.31301953174725705</v>
      </c>
      <c r="V22" s="26">
        <v>0.27803048419312199</v>
      </c>
      <c r="W22" s="26">
        <v>0.1557455587949606</v>
      </c>
      <c r="Y22" s="31">
        <f>INDEX(P22:W22,MATCH($P$16,$P$20:$W$20,0))</f>
        <v>0.1557455587949606</v>
      </c>
      <c r="Z22" s="14"/>
    </row>
    <row r="23" spans="3:26" ht="15.75" thickBot="1" x14ac:dyDescent="0.3">
      <c r="C23" s="19" t="s">
        <v>25</v>
      </c>
      <c r="D23" s="1"/>
      <c r="E23" s="1"/>
      <c r="F23" s="1"/>
      <c r="N23" s="11"/>
      <c r="O23" s="27" t="s">
        <v>26</v>
      </c>
      <c r="P23" s="28">
        <v>0.22</v>
      </c>
      <c r="Q23" s="28">
        <v>0.25036354335343941</v>
      </c>
      <c r="R23" s="28">
        <v>0.257022833388178</v>
      </c>
      <c r="S23" s="28">
        <v>0.27165948703794079</v>
      </c>
      <c r="T23" s="28">
        <v>0.28484077890254811</v>
      </c>
      <c r="U23" s="28">
        <v>0.35724583723921877</v>
      </c>
      <c r="V23" s="28">
        <v>0.36461036117023526</v>
      </c>
      <c r="W23" s="28">
        <v>0.33916601983652017</v>
      </c>
      <c r="Y23" s="32">
        <f>INDEX(P23:W23,MATCH($P$16,$P$20:$W$20,0))</f>
        <v>0.33916601983652017</v>
      </c>
      <c r="Z23" s="14"/>
    </row>
    <row r="24" spans="3:26" x14ac:dyDescent="0.25">
      <c r="C24" s="19" t="s">
        <v>27</v>
      </c>
      <c r="D24" s="1"/>
      <c r="E24" s="1"/>
      <c r="F24" s="1"/>
      <c r="N24" s="11"/>
      <c r="Z24" s="14"/>
    </row>
    <row r="25" spans="3:26" ht="15" customHeight="1" x14ac:dyDescent="0.25">
      <c r="C25" s="5" t="s">
        <v>28</v>
      </c>
      <c r="D25" s="1"/>
      <c r="E25" s="1"/>
      <c r="F25" s="1"/>
      <c r="N25" s="11"/>
      <c r="W25" s="37" t="s">
        <v>29</v>
      </c>
      <c r="Y25" s="38" t="s">
        <v>30</v>
      </c>
      <c r="Z25" s="14"/>
    </row>
    <row r="26" spans="3:26" x14ac:dyDescent="0.25">
      <c r="C26" s="5" t="s">
        <v>31</v>
      </c>
      <c r="D26" s="1"/>
      <c r="E26" s="1"/>
      <c r="F26" s="1"/>
      <c r="N26" s="11"/>
      <c r="W26" s="37"/>
      <c r="Y26" s="38"/>
      <c r="Z26" s="14"/>
    </row>
    <row r="27" spans="3:26" x14ac:dyDescent="0.25">
      <c r="C27" s="5" t="s">
        <v>32</v>
      </c>
      <c r="D27" s="1"/>
      <c r="E27" s="1"/>
      <c r="F27" s="1"/>
      <c r="N27" s="11"/>
      <c r="W27" s="37"/>
      <c r="Y27" s="38"/>
      <c r="Z27" s="14"/>
    </row>
    <row r="28" spans="3:26" x14ac:dyDescent="0.25">
      <c r="C28" s="5" t="s">
        <v>33</v>
      </c>
      <c r="D28" s="1"/>
      <c r="E28" s="1"/>
      <c r="F28" s="1"/>
      <c r="N28" s="11"/>
      <c r="W28" s="37"/>
      <c r="Y28" s="38"/>
      <c r="Z28" s="14"/>
    </row>
    <row r="29" spans="3:26" x14ac:dyDescent="0.25">
      <c r="C29" s="5" t="s">
        <v>34</v>
      </c>
      <c r="D29" s="1"/>
      <c r="E29" s="1"/>
      <c r="F29" s="1"/>
      <c r="N29" s="11"/>
      <c r="W29" s="37"/>
      <c r="Y29" s="38"/>
      <c r="Z29" s="14"/>
    </row>
    <row r="30" spans="3:26" x14ac:dyDescent="0.25">
      <c r="C30" s="5" t="s">
        <v>35</v>
      </c>
      <c r="D30" s="1"/>
      <c r="E30" s="1"/>
      <c r="F30" s="1"/>
      <c r="N30" s="11"/>
      <c r="W30" s="37"/>
      <c r="Y30" s="38"/>
      <c r="Z30" s="14"/>
    </row>
    <row r="31" spans="3:26" x14ac:dyDescent="0.25">
      <c r="C31" s="36" t="s">
        <v>44</v>
      </c>
      <c r="D31" s="1"/>
      <c r="E31" s="1"/>
      <c r="F31" s="1"/>
      <c r="N31" s="11"/>
      <c r="W31" s="37"/>
      <c r="Y31" s="38"/>
      <c r="Z31" s="14"/>
    </row>
    <row r="32" spans="3:26" x14ac:dyDescent="0.25">
      <c r="C32" s="36" t="s">
        <v>44</v>
      </c>
      <c r="D32" s="1"/>
      <c r="E32" s="1"/>
      <c r="F32" s="1"/>
      <c r="N32" s="11"/>
      <c r="W32" s="37"/>
      <c r="Y32" s="38"/>
      <c r="Z32" s="14"/>
    </row>
    <row r="33" spans="3:26" x14ac:dyDescent="0.25">
      <c r="C33" s="3" t="s">
        <v>36</v>
      </c>
      <c r="D33" s="1"/>
      <c r="E33" s="1"/>
      <c r="F33" s="1"/>
      <c r="N33" s="11"/>
      <c r="W33" s="37"/>
      <c r="Y33" s="38"/>
      <c r="Z33" s="14"/>
    </row>
    <row r="34" spans="3:26" x14ac:dyDescent="0.25">
      <c r="C34" s="5" t="s">
        <v>37</v>
      </c>
      <c r="N34" s="11"/>
      <c r="W34" s="37"/>
      <c r="Y34" s="38"/>
      <c r="Z34" s="14"/>
    </row>
    <row r="35" spans="3:26" x14ac:dyDescent="0.25">
      <c r="C35" s="6" t="s">
        <v>38</v>
      </c>
      <c r="N35" s="11"/>
      <c r="W35" s="37"/>
      <c r="Y35" s="38"/>
      <c r="Z35" s="14"/>
    </row>
    <row r="36" spans="3:26" x14ac:dyDescent="0.25">
      <c r="C36" s="5" t="s">
        <v>39</v>
      </c>
      <c r="N36" s="11"/>
      <c r="W36" s="37"/>
      <c r="Y36" s="38"/>
      <c r="Z36" s="14"/>
    </row>
    <row r="37" spans="3:26" x14ac:dyDescent="0.25">
      <c r="C37" s="5" t="s">
        <v>40</v>
      </c>
      <c r="N37" s="11"/>
      <c r="W37" s="37"/>
      <c r="Y37" s="38"/>
      <c r="Z37" s="14"/>
    </row>
    <row r="38" spans="3:26" x14ac:dyDescent="0.25">
      <c r="C38" s="5" t="s">
        <v>41</v>
      </c>
      <c r="N38" s="11"/>
      <c r="W38" s="37"/>
      <c r="Y38" s="38"/>
      <c r="Z38" s="14"/>
    </row>
    <row r="39" spans="3:26" x14ac:dyDescent="0.25">
      <c r="C39" s="5" t="s">
        <v>42</v>
      </c>
      <c r="N39" s="11"/>
      <c r="V39" s="20">
        <f>(P16-P17)/(P18-P17)</f>
        <v>1</v>
      </c>
      <c r="W39" s="37"/>
      <c r="Y39" s="38"/>
      <c r="Z39" s="14"/>
    </row>
    <row r="40" spans="3:26" x14ac:dyDescent="0.25">
      <c r="C40" s="19" t="s">
        <v>38</v>
      </c>
      <c r="N40" s="12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15"/>
    </row>
    <row r="41" spans="3:26" x14ac:dyDescent="0.25">
      <c r="N41" s="41" t="s">
        <v>43</v>
      </c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</row>
  </sheetData>
  <sheetProtection selectLockedCells="1"/>
  <mergeCells count="4">
    <mergeCell ref="W25:W39"/>
    <mergeCell ref="Y25:Y39"/>
    <mergeCell ref="N13:Z14"/>
    <mergeCell ref="N41:Z41"/>
  </mergeCells>
  <conditionalFormatting sqref="P20:W23">
    <cfRule type="expression" dxfId="0" priority="1">
      <formula>$P$16=P$20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tartAnimationExemple">
                <anchor moveWithCells="1" sizeWithCells="1"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25</xdr:col>
                    <xdr:colOff>9525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Animation du graphique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JCD</dc:creator>
  <cp:keywords/>
  <dc:description/>
  <cp:lastModifiedBy>Jacob Thibault</cp:lastModifiedBy>
  <cp:revision/>
  <dcterms:created xsi:type="dcterms:W3CDTF">2012-11-18T18:16:58Z</dcterms:created>
  <dcterms:modified xsi:type="dcterms:W3CDTF">2022-12-08T03:58:33Z</dcterms:modified>
  <cp:category/>
  <cp:contentStatus/>
</cp:coreProperties>
</file>