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/>
  <workbookPr/>
  <mc:AlternateContent xmlns:mc="http://schemas.openxmlformats.org/markup-compatibility/2006">
    <mc:Choice Requires="x15">
      <x15ac:absPath xmlns:x15ac="http://schemas.microsoft.com/office/spreadsheetml/2010/11/ac" url="C:\Users\Jacob\Desktop\Projet Excel\Excel\"/>
    </mc:Choice>
  </mc:AlternateContent>
  <xr:revisionPtr revIDLastSave="0" documentId="8_{FBA01BA1-DEAD-44E1-B22E-8BCD60C27D4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 C.I. et Trajectoire" sheetId="1" r:id="rId1"/>
    <sheet name="Simulation en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1" i="1" l="1"/>
  <c r="N51" i="1"/>
  <c r="M51" i="1"/>
  <c r="L51" i="1"/>
  <c r="P51" i="1" s="1"/>
  <c r="P48" i="1"/>
  <c r="O48" i="1"/>
  <c r="N48" i="1"/>
  <c r="M48" i="1"/>
  <c r="L48" i="1"/>
  <c r="F47" i="1"/>
  <c r="G47" i="1"/>
  <c r="E57" i="1"/>
  <c r="G37" i="1" s="1"/>
  <c r="E56" i="1"/>
  <c r="G29" i="1" s="1"/>
  <c r="E55" i="1"/>
  <c r="G21" i="1" s="1"/>
  <c r="G49" i="1"/>
  <c r="G48" i="1"/>
  <c r="F49" i="1"/>
  <c r="F48" i="1"/>
  <c r="E47" i="1" l="1"/>
  <c r="G19" i="1" s="1"/>
  <c r="E51" i="1" s="1"/>
  <c r="G20" i="1" s="1"/>
  <c r="E49" i="1"/>
  <c r="G35" i="1" s="1"/>
  <c r="E53" i="1" s="1"/>
  <c r="G36" i="1" s="1"/>
  <c r="E48" i="1"/>
  <c r="G27" i="1" s="1"/>
  <c r="E52" i="1" s="1"/>
  <c r="G28" i="1" s="1"/>
</calcChain>
</file>

<file path=xl/sharedStrings.xml><?xml version="1.0" encoding="utf-8"?>
<sst xmlns="http://schemas.openxmlformats.org/spreadsheetml/2006/main" count="129" uniqueCount="72">
  <si>
    <t>Paramètres généraux</t>
  </si>
  <si>
    <t>t</t>
  </si>
  <si>
    <t>Symbôle</t>
  </si>
  <si>
    <t>Valeur</t>
  </si>
  <si>
    <t>Paramètres du corps en mouvement</t>
  </si>
  <si>
    <t>La masse :</t>
  </si>
  <si>
    <t>Ratio de la constante d’Aarseth :</t>
  </si>
  <si>
    <t>Base de temps :</t>
  </si>
  <si>
    <t>la position initiale en x et y :</t>
  </si>
  <si>
    <t>la vitesse initiale en x et y :</t>
  </si>
  <si>
    <t>l’accélération initiale en x et y :</t>
  </si>
  <si>
    <t>m</t>
  </si>
  <si>
    <t>la position en x et y :</t>
  </si>
  <si>
    <t>le rayon de la sphère représentant le corps :</t>
  </si>
  <si>
    <t>la masse volumique moyenne du corps :</t>
  </si>
  <si>
    <t>le volume :</t>
  </si>
  <si>
    <t>la masse totale :</t>
  </si>
  <si>
    <t>la constante d’Aarseth :</t>
  </si>
  <si>
    <t>p</t>
  </si>
  <si>
    <t>v</t>
  </si>
  <si>
    <t>a</t>
  </si>
  <si>
    <t>q</t>
  </si>
  <si>
    <t>r</t>
  </si>
  <si>
    <t>ρ</t>
  </si>
  <si>
    <t>Λ</t>
  </si>
  <si>
    <t>V</t>
  </si>
  <si>
    <t>M</t>
  </si>
  <si>
    <t>λ</t>
  </si>
  <si>
    <t>Les paramètres du deuxième corps :</t>
  </si>
  <si>
    <t>Les paramètres du troisième corps :</t>
  </si>
  <si>
    <t>Les paramètres du premier corps :</t>
  </si>
  <si>
    <t>Simulation et Mouvement</t>
  </si>
  <si>
    <t>Coefficient de friction :</t>
  </si>
  <si>
    <t>f</t>
  </si>
  <si>
    <t>Trois corps statiques</t>
  </si>
  <si>
    <t>Dimension</t>
  </si>
  <si>
    <t>s</t>
  </si>
  <si>
    <t>Attraction\Répulsion :</t>
  </si>
  <si>
    <t>unité de mesure</t>
  </si>
  <si>
    <t>secondes</t>
  </si>
  <si>
    <t>mètres/secondes</t>
  </si>
  <si>
    <t>-</t>
  </si>
  <si>
    <t>grammes</t>
  </si>
  <si>
    <t>gramme</t>
  </si>
  <si>
    <t>mètres</t>
  </si>
  <si>
    <t>mètre</t>
  </si>
  <si>
    <t>Attraction</t>
  </si>
  <si>
    <t>grammes/mètres</t>
  </si>
  <si>
    <t>Conditions Initiales de la simulation</t>
  </si>
  <si>
    <t>Représentation des conditions initiales</t>
  </si>
  <si>
    <t>Calculs</t>
  </si>
  <si>
    <t>Calcul</t>
  </si>
  <si>
    <t>pi</t>
  </si>
  <si>
    <t>rayon exposant 3</t>
  </si>
  <si>
    <t>Calculs pour les planètes</t>
  </si>
  <si>
    <t>calcul volume corps 1 :</t>
  </si>
  <si>
    <t>calcul volume corps 2 :</t>
  </si>
  <si>
    <t>calcul volume corps 3 :</t>
  </si>
  <si>
    <t>calcul masse corps 1 :</t>
  </si>
  <si>
    <t>calcul masse corps 2 :</t>
  </si>
  <si>
    <t>calcul masse corps 3 :</t>
  </si>
  <si>
    <t>Calcul constante d'Aarseth corps 1 :</t>
  </si>
  <si>
    <t>Calcul constante d'Aarseth corps 2 :</t>
  </si>
  <si>
    <t>Calcul constante d'Aarseth corps 3 :</t>
  </si>
  <si>
    <t>temps</t>
  </si>
  <si>
    <t>p-1+v-1</t>
  </si>
  <si>
    <t>a-1*1/2</t>
  </si>
  <si>
    <t>t^2</t>
  </si>
  <si>
    <t>calcul de la position courante en fonction des valeurs de position, vitesse et accélération de X :</t>
  </si>
  <si>
    <t>Calcul Final</t>
  </si>
  <si>
    <t>calcul de la position courante en fonction des valeurs de position, vitesse et accélération de Y :</t>
  </si>
  <si>
    <t>Calculs pour le vaisseau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</si>
</sst>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5" fillId="2" borderId="1" applyNumberFormat="0" applyAlignment="0" applyProtection="0"/>
    <xf numFmtId="0" fontId="6" fillId="3" borderId="2" applyNumberFormat="0" applyAlignment="0" applyProtection="0"/>
    <xf numFmtId="0" fontId="7" fillId="3" borderId="1" applyNumberFormat="0" applyAlignment="0" applyProtection="0"/>
    <xf numFmtId="0" fontId="8" fillId="4" borderId="0" applyNumberFormat="0" applyBorder="0" applyAlignment="0" applyProtection="0"/>
    <xf numFmtId="0" fontId="4" fillId="5" borderId="0" applyNumberFormat="0" applyBorder="0" applyAlignment="0" applyProtection="0"/>
    <xf numFmtId="0" fontId="8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8" fillId="9" borderId="0" applyNumberFormat="0" applyBorder="0" applyAlignment="0" applyProtection="0"/>
    <xf numFmtId="0" fontId="4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</cellStyleXfs>
  <cellXfs count="81">
    <xf numFmtId="0" fontId="0" fillId="0" borderId="0" xfId="0"/>
    <xf numFmtId="0" fontId="4" fillId="14" borderId="0" xfId="5" applyFill="1"/>
    <xf numFmtId="0" fontId="1" fillId="14" borderId="1" xfId="3" applyFont="1" applyFill="1"/>
    <xf numFmtId="0" fontId="4" fillId="14" borderId="1" xfId="3" applyFont="1" applyFill="1"/>
    <xf numFmtId="0" fontId="15" fillId="7" borderId="4" xfId="7" applyFont="1" applyBorder="1"/>
    <xf numFmtId="0" fontId="15" fillId="8" borderId="4" xfId="8" applyFont="1" applyBorder="1"/>
    <xf numFmtId="0" fontId="16" fillId="7" borderId="4" xfId="7" applyFont="1" applyBorder="1"/>
    <xf numFmtId="0" fontId="16" fillId="8" borderId="4" xfId="8" applyFont="1" applyBorder="1"/>
    <xf numFmtId="0" fontId="17" fillId="7" borderId="4" xfId="7" applyFont="1" applyBorder="1"/>
    <xf numFmtId="0" fontId="17" fillId="8" borderId="4" xfId="8" applyFont="1" applyBorder="1"/>
    <xf numFmtId="0" fontId="23" fillId="14" borderId="1" xfId="3" applyFont="1" applyFill="1"/>
    <xf numFmtId="0" fontId="23" fillId="14" borderId="1" xfId="3" applyFont="1" applyFill="1" applyAlignment="1">
      <alignment horizontal="left"/>
    </xf>
    <xf numFmtId="0" fontId="22" fillId="14" borderId="1" xfId="3" applyFont="1" applyFill="1"/>
    <xf numFmtId="0" fontId="3" fillId="17" borderId="4" xfId="10" applyFont="1" applyFill="1" applyBorder="1"/>
    <xf numFmtId="0" fontId="4" fillId="20" borderId="1" xfId="3" applyFont="1" applyFill="1"/>
    <xf numFmtId="0" fontId="4" fillId="20" borderId="13" xfId="3" applyFont="1" applyFill="1" applyBorder="1"/>
    <xf numFmtId="0" fontId="4" fillId="14" borderId="13" xfId="3" applyFont="1" applyFill="1" applyBorder="1"/>
    <xf numFmtId="0" fontId="0" fillId="21" borderId="4" xfId="0" applyFill="1" applyBorder="1"/>
    <xf numFmtId="0" fontId="0" fillId="17" borderId="4" xfId="0" applyFill="1" applyBorder="1"/>
    <xf numFmtId="0" fontId="1" fillId="17" borderId="17" xfId="0" applyFont="1" applyFill="1" applyBorder="1" applyAlignment="1">
      <alignment horizontal="center"/>
    </xf>
    <xf numFmtId="0" fontId="1" fillId="17" borderId="18" xfId="0" applyFont="1" applyFill="1" applyBorder="1" applyAlignment="1">
      <alignment horizontal="center"/>
    </xf>
    <xf numFmtId="0" fontId="1" fillId="17" borderId="19" xfId="0" applyFont="1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21" borderId="17" xfId="0" applyFill="1" applyBorder="1" applyAlignment="1">
      <alignment horizontal="center"/>
    </xf>
    <xf numFmtId="0" fontId="0" fillId="21" borderId="19" xfId="0" applyFill="1" applyBorder="1" applyAlignment="1">
      <alignment horizontal="center"/>
    </xf>
    <xf numFmtId="0" fontId="3" fillId="20" borderId="13" xfId="3" applyFont="1" applyFill="1" applyBorder="1" applyAlignment="1">
      <alignment horizontal="center"/>
    </xf>
    <xf numFmtId="0" fontId="3" fillId="20" borderId="14" xfId="3" applyFont="1" applyFill="1" applyBorder="1" applyAlignment="1">
      <alignment horizontal="center"/>
    </xf>
    <xf numFmtId="0" fontId="3" fillId="20" borderId="15" xfId="3" applyFont="1" applyFill="1" applyBorder="1" applyAlignment="1">
      <alignment horizontal="center"/>
    </xf>
    <xf numFmtId="0" fontId="1" fillId="20" borderId="13" xfId="3" applyFont="1" applyFill="1" applyBorder="1" applyAlignment="1">
      <alignment horizontal="center"/>
    </xf>
    <xf numFmtId="0" fontId="1" fillId="20" borderId="14" xfId="3" applyFont="1" applyFill="1" applyBorder="1" applyAlignment="1">
      <alignment horizontal="center"/>
    </xf>
    <xf numFmtId="0" fontId="1" fillId="20" borderId="15" xfId="3" applyFont="1" applyFill="1" applyBorder="1" applyAlignment="1">
      <alignment horizontal="center"/>
    </xf>
    <xf numFmtId="0" fontId="3" fillId="14" borderId="1" xfId="3" applyFont="1" applyFill="1" applyAlignment="1">
      <alignment horizontal="left"/>
    </xf>
    <xf numFmtId="0" fontId="22" fillId="14" borderId="1" xfId="3" applyFont="1" applyFill="1" applyAlignment="1">
      <alignment horizontal="center"/>
    </xf>
    <xf numFmtId="0" fontId="16" fillId="8" borderId="4" xfId="8" applyFont="1" applyBorder="1" applyAlignment="1">
      <alignment horizontal="center"/>
    </xf>
    <xf numFmtId="0" fontId="17" fillId="8" borderId="4" xfId="8" applyFont="1" applyBorder="1" applyAlignment="1">
      <alignment horizontal="center"/>
    </xf>
    <xf numFmtId="0" fontId="15" fillId="8" borderId="4" xfId="8" applyFont="1" applyBorder="1" applyAlignment="1">
      <alignment horizontal="center"/>
    </xf>
    <xf numFmtId="0" fontId="15" fillId="7" borderId="4" xfId="7" applyFont="1" applyBorder="1" applyAlignment="1">
      <alignment horizontal="center"/>
    </xf>
    <xf numFmtId="0" fontId="19" fillId="8" borderId="4" xfId="8" applyFont="1" applyBorder="1" applyAlignment="1">
      <alignment horizontal="center"/>
    </xf>
    <xf numFmtId="0" fontId="19" fillId="7" borderId="4" xfId="7" applyFont="1" applyBorder="1" applyAlignment="1">
      <alignment horizontal="center"/>
    </xf>
    <xf numFmtId="0" fontId="21" fillId="7" borderId="4" xfId="7" applyFont="1" applyBorder="1" applyAlignment="1">
      <alignment horizontal="center"/>
    </xf>
    <xf numFmtId="0" fontId="17" fillId="7" borderId="4" xfId="7" applyFont="1" applyBorder="1" applyAlignment="1">
      <alignment horizontal="center"/>
    </xf>
    <xf numFmtId="0" fontId="16" fillId="7" borderId="4" xfId="7" applyFont="1" applyBorder="1" applyAlignment="1">
      <alignment horizontal="center"/>
    </xf>
    <xf numFmtId="0" fontId="11" fillId="18" borderId="4" xfId="4" applyFont="1" applyFill="1" applyBorder="1" applyAlignment="1">
      <alignment horizontal="left"/>
    </xf>
    <xf numFmtId="0" fontId="21" fillId="8" borderId="4" xfId="8" applyFont="1" applyBorder="1" applyAlignment="1">
      <alignment horizontal="center"/>
    </xf>
    <xf numFmtId="0" fontId="11" fillId="18" borderId="4" xfId="6" applyFont="1" applyFill="1" applyBorder="1" applyAlignment="1">
      <alignment horizontal="left"/>
    </xf>
    <xf numFmtId="0" fontId="10" fillId="13" borderId="0" xfId="6" applyFont="1" applyFill="1" applyAlignment="1">
      <alignment horizontal="center"/>
    </xf>
    <xf numFmtId="0" fontId="0" fillId="0" borderId="0" xfId="0" applyAlignment="1">
      <alignment horizontal="center"/>
    </xf>
    <xf numFmtId="0" fontId="4" fillId="19" borderId="7" xfId="8" applyFill="1" applyBorder="1" applyAlignment="1">
      <alignment horizontal="center"/>
    </xf>
    <xf numFmtId="0" fontId="4" fillId="19" borderId="8" xfId="8" applyFill="1" applyBorder="1" applyAlignment="1">
      <alignment horizontal="center"/>
    </xf>
    <xf numFmtId="0" fontId="4" fillId="19" borderId="9" xfId="8" applyFill="1" applyBorder="1" applyAlignment="1">
      <alignment horizontal="center"/>
    </xf>
    <xf numFmtId="0" fontId="4" fillId="19" borderId="10" xfId="8" applyFill="1" applyBorder="1" applyAlignment="1">
      <alignment horizontal="center"/>
    </xf>
    <xf numFmtId="0" fontId="4" fillId="19" borderId="11" xfId="8" applyFill="1" applyBorder="1" applyAlignment="1">
      <alignment horizontal="center"/>
    </xf>
    <xf numFmtId="0" fontId="4" fillId="19" borderId="12" xfId="8" applyFill="1" applyBorder="1" applyAlignment="1">
      <alignment horizontal="center"/>
    </xf>
    <xf numFmtId="0" fontId="4" fillId="19" borderId="4" xfId="8" applyFill="1" applyBorder="1" applyAlignment="1">
      <alignment horizontal="center"/>
    </xf>
    <xf numFmtId="0" fontId="9" fillId="21" borderId="17" xfId="0" applyFont="1" applyFill="1" applyBorder="1" applyAlignment="1">
      <alignment horizontal="center"/>
    </xf>
    <xf numFmtId="0" fontId="9" fillId="21" borderId="18" xfId="0" applyFont="1" applyFill="1" applyBorder="1" applyAlignment="1">
      <alignment horizontal="center"/>
    </xf>
    <xf numFmtId="0" fontId="9" fillId="21" borderId="19" xfId="0" applyFont="1" applyFill="1" applyBorder="1" applyAlignment="1">
      <alignment horizontal="center"/>
    </xf>
    <xf numFmtId="0" fontId="4" fillId="20" borderId="1" xfId="3" applyFont="1" applyFill="1" applyAlignment="1">
      <alignment horizontal="center"/>
    </xf>
    <xf numFmtId="0" fontId="4" fillId="14" borderId="13" xfId="3" applyFont="1" applyFill="1" applyBorder="1" applyAlignment="1">
      <alignment horizontal="center"/>
    </xf>
    <xf numFmtId="0" fontId="4" fillId="14" borderId="15" xfId="3" applyFont="1" applyFill="1" applyBorder="1" applyAlignment="1">
      <alignment horizontal="center"/>
    </xf>
    <xf numFmtId="0" fontId="4" fillId="14" borderId="1" xfId="3" applyFont="1" applyFill="1" applyAlignment="1">
      <alignment horizontal="center"/>
    </xf>
    <xf numFmtId="0" fontId="3" fillId="14" borderId="13" xfId="3" applyFont="1" applyFill="1" applyBorder="1" applyAlignment="1">
      <alignment horizontal="left"/>
    </xf>
    <xf numFmtId="0" fontId="3" fillId="14" borderId="14" xfId="3" applyFont="1" applyFill="1" applyBorder="1" applyAlignment="1">
      <alignment horizontal="left"/>
    </xf>
    <xf numFmtId="0" fontId="3" fillId="14" borderId="15" xfId="3" applyFont="1" applyFill="1" applyBorder="1" applyAlignment="1">
      <alignment horizontal="left"/>
    </xf>
    <xf numFmtId="0" fontId="9" fillId="14" borderId="6" xfId="3" applyFont="1" applyFill="1" applyBorder="1" applyAlignment="1">
      <alignment horizontal="center"/>
    </xf>
    <xf numFmtId="0" fontId="9" fillId="14" borderId="16" xfId="3" applyFont="1" applyFill="1" applyBorder="1" applyAlignment="1">
      <alignment horizontal="center"/>
    </xf>
    <xf numFmtId="0" fontId="20" fillId="7" borderId="4" xfId="7" applyFont="1" applyBorder="1" applyAlignment="1">
      <alignment horizontal="center"/>
    </xf>
    <xf numFmtId="0" fontId="20" fillId="8" borderId="4" xfId="8" applyFont="1" applyBorder="1" applyAlignment="1">
      <alignment horizontal="center"/>
    </xf>
    <xf numFmtId="0" fontId="3" fillId="17" borderId="4" xfId="10" applyFont="1" applyFill="1" applyBorder="1" applyAlignment="1">
      <alignment horizontal="center"/>
    </xf>
    <xf numFmtId="0" fontId="11" fillId="18" borderId="6" xfId="1" applyFont="1" applyFill="1" applyBorder="1" applyAlignment="1">
      <alignment horizontal="left"/>
    </xf>
    <xf numFmtId="0" fontId="12" fillId="15" borderId="5" xfId="2" applyFont="1" applyFill="1" applyBorder="1" applyAlignment="1">
      <alignment horizontal="center"/>
    </xf>
    <xf numFmtId="0" fontId="11" fillId="18" borderId="4" xfId="12" applyFont="1" applyFill="1" applyBorder="1" applyAlignment="1">
      <alignment horizontal="left"/>
    </xf>
    <xf numFmtId="0" fontId="23" fillId="14" borderId="1" xfId="3" applyFont="1" applyFill="1" applyAlignment="1">
      <alignment horizontal="center"/>
    </xf>
    <xf numFmtId="0" fontId="11" fillId="18" borderId="1" xfId="1" applyFont="1" applyFill="1" applyAlignment="1">
      <alignment horizontal="left"/>
    </xf>
    <xf numFmtId="0" fontId="18" fillId="14" borderId="1" xfId="3" applyFont="1" applyFill="1" applyAlignment="1">
      <alignment horizontal="center"/>
    </xf>
    <xf numFmtId="0" fontId="14" fillId="14" borderId="1" xfId="3" applyFont="1" applyFill="1" applyAlignment="1">
      <alignment horizontal="center"/>
    </xf>
    <xf numFmtId="0" fontId="10" fillId="16" borderId="0" xfId="9" applyFont="1" applyFill="1" applyAlignment="1">
      <alignment horizontal="center"/>
    </xf>
    <xf numFmtId="0" fontId="10" fillId="15" borderId="3" xfId="11" applyFont="1" applyFill="1" applyBorder="1" applyAlignment="1">
      <alignment horizontal="center"/>
    </xf>
    <xf numFmtId="0" fontId="13" fillId="17" borderId="4" xfId="10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3">
    <cellStyle name="20 % - Accent1" xfId="5" builtinId="30"/>
    <cellStyle name="20 % - Accent3" xfId="7" builtinId="38"/>
    <cellStyle name="40 % - Accent3" xfId="8" builtinId="39"/>
    <cellStyle name="60 % - Accent4" xfId="10" builtinId="44"/>
    <cellStyle name="Accent1" xfId="4" builtinId="29"/>
    <cellStyle name="Accent2" xfId="6" builtinId="33"/>
    <cellStyle name="Accent4" xfId="9" builtinId="41"/>
    <cellStyle name="Accent5" xfId="11" builtinId="45"/>
    <cellStyle name="Accent6" xfId="12" builtinId="49"/>
    <cellStyle name="Calcul" xfId="3" builtinId="22"/>
    <cellStyle name="Entrée" xfId="1" builtinId="20"/>
    <cellStyle name="Normal" xfId="0" builtinId="0"/>
    <cellStyle name="Sortie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2"/>
  <sheetViews>
    <sheetView tabSelected="1" topLeftCell="A26" workbookViewId="0">
      <selection activeCell="A58" sqref="A58"/>
    </sheetView>
  </sheetViews>
  <sheetFormatPr baseColWidth="10" defaultColWidth="9.140625" defaultRowHeight="15" x14ac:dyDescent="0.25"/>
  <cols>
    <col min="5" max="5" width="10.5703125" customWidth="1"/>
    <col min="7" max="7" width="12" bestFit="1" customWidth="1"/>
    <col min="15" max="15" width="9.5703125" bestFit="1" customWidth="1"/>
    <col min="22" max="23" width="13.140625" bestFit="1" customWidth="1"/>
  </cols>
  <sheetData>
    <row r="1" spans="1:26" ht="15" customHeight="1" thickTop="1" thickBot="1" x14ac:dyDescent="0.3">
      <c r="A1" s="77" t="s">
        <v>48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8" t="s">
        <v>49</v>
      </c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t="s">
        <v>64</v>
      </c>
    </row>
    <row r="2" spans="1:26" ht="15" customHeight="1" thickTop="1" thickBo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>
        <v>0</v>
      </c>
    </row>
    <row r="3" spans="1:26" ht="16.5" thickTop="1" x14ac:dyDescent="0.25">
      <c r="A3" s="79"/>
      <c r="B3" s="79"/>
      <c r="C3" s="79"/>
      <c r="D3" s="79"/>
      <c r="E3" s="79"/>
      <c r="F3" s="13" t="s">
        <v>2</v>
      </c>
      <c r="G3" s="69" t="s">
        <v>3</v>
      </c>
      <c r="H3" s="69"/>
      <c r="I3" s="69" t="s">
        <v>38</v>
      </c>
      <c r="J3" s="69"/>
      <c r="K3" s="69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>
        <v>1</v>
      </c>
    </row>
    <row r="4" spans="1:26" ht="18.75" x14ac:dyDescent="0.3">
      <c r="A4" s="70" t="s">
        <v>0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>
        <v>2</v>
      </c>
    </row>
    <row r="5" spans="1:26" x14ac:dyDescent="0.25">
      <c r="A5" s="75" t="s">
        <v>7</v>
      </c>
      <c r="B5" s="75"/>
      <c r="C5" s="75"/>
      <c r="D5" s="75"/>
      <c r="E5" s="75"/>
      <c r="F5" s="12" t="s">
        <v>1</v>
      </c>
      <c r="G5" s="33">
        <v>0.5</v>
      </c>
      <c r="H5" s="33"/>
      <c r="I5" s="33" t="s">
        <v>39</v>
      </c>
      <c r="J5" s="33"/>
      <c r="K5" s="33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>
        <v>3</v>
      </c>
    </row>
    <row r="6" spans="1:26" x14ac:dyDescent="0.25">
      <c r="A6" s="75" t="s">
        <v>32</v>
      </c>
      <c r="B6" s="75"/>
      <c r="C6" s="75"/>
      <c r="D6" s="75"/>
      <c r="E6" s="75"/>
      <c r="F6" s="12" t="s">
        <v>33</v>
      </c>
      <c r="G6" s="33">
        <v>0</v>
      </c>
      <c r="H6" s="33"/>
      <c r="I6" s="33" t="s">
        <v>40</v>
      </c>
      <c r="J6" s="33"/>
      <c r="K6" s="33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>
        <v>4</v>
      </c>
    </row>
    <row r="7" spans="1:26" x14ac:dyDescent="0.25">
      <c r="A7" s="75" t="s">
        <v>6</v>
      </c>
      <c r="B7" s="75"/>
      <c r="C7" s="75"/>
      <c r="D7" s="75"/>
      <c r="E7" s="75"/>
      <c r="F7" s="12" t="s">
        <v>24</v>
      </c>
      <c r="G7" s="33">
        <v>1</v>
      </c>
      <c r="H7" s="33"/>
      <c r="I7" s="33" t="s">
        <v>41</v>
      </c>
      <c r="J7" s="33"/>
      <c r="K7" s="3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>
        <v>5</v>
      </c>
    </row>
    <row r="8" spans="1:26" ht="18.75" x14ac:dyDescent="0.3">
      <c r="A8" s="74" t="s">
        <v>4</v>
      </c>
      <c r="B8" s="74"/>
      <c r="C8" s="74"/>
      <c r="D8" s="74"/>
      <c r="E8" s="74"/>
      <c r="F8" s="74"/>
      <c r="G8" s="74"/>
      <c r="H8" s="74"/>
      <c r="I8" s="74"/>
      <c r="J8" s="74"/>
      <c r="K8" s="74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>
        <v>6</v>
      </c>
    </row>
    <row r="9" spans="1:26" x14ac:dyDescent="0.25">
      <c r="A9" s="76" t="s">
        <v>5</v>
      </c>
      <c r="B9" s="76"/>
      <c r="C9" s="76"/>
      <c r="D9" s="76"/>
      <c r="E9" s="76"/>
      <c r="F9" s="10" t="s">
        <v>11</v>
      </c>
      <c r="G9" s="73">
        <v>1</v>
      </c>
      <c r="H9" s="73"/>
      <c r="I9" s="73" t="s">
        <v>43</v>
      </c>
      <c r="J9" s="73"/>
      <c r="K9" s="7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>
        <v>7</v>
      </c>
    </row>
    <row r="10" spans="1:26" x14ac:dyDescent="0.25">
      <c r="A10" s="76" t="s">
        <v>8</v>
      </c>
      <c r="B10" s="76"/>
      <c r="C10" s="76"/>
      <c r="D10" s="76"/>
      <c r="E10" s="76"/>
      <c r="F10" s="10" t="s">
        <v>18</v>
      </c>
      <c r="G10" s="10">
        <v>0</v>
      </c>
      <c r="H10" s="11">
        <v>0</v>
      </c>
      <c r="I10" s="73" t="s">
        <v>44</v>
      </c>
      <c r="J10" s="73"/>
      <c r="K10" s="7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>
        <v>8</v>
      </c>
    </row>
    <row r="11" spans="1:26" x14ac:dyDescent="0.25">
      <c r="A11" s="76" t="s">
        <v>9</v>
      </c>
      <c r="B11" s="76"/>
      <c r="C11" s="76"/>
      <c r="D11" s="76"/>
      <c r="E11" s="76"/>
      <c r="F11" s="10" t="s">
        <v>19</v>
      </c>
      <c r="G11" s="10">
        <v>0</v>
      </c>
      <c r="H11" s="11">
        <v>0</v>
      </c>
      <c r="I11" s="73" t="s">
        <v>40</v>
      </c>
      <c r="J11" s="73"/>
      <c r="K11" s="7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>
        <v>9</v>
      </c>
    </row>
    <row r="12" spans="1:26" x14ac:dyDescent="0.25">
      <c r="A12" s="76" t="s">
        <v>10</v>
      </c>
      <c r="B12" s="76"/>
      <c r="C12" s="76"/>
      <c r="D12" s="76"/>
      <c r="E12" s="76"/>
      <c r="F12" s="10" t="s">
        <v>20</v>
      </c>
      <c r="G12" s="10">
        <v>0</v>
      </c>
      <c r="H12" s="11">
        <v>0</v>
      </c>
      <c r="I12" s="73" t="s">
        <v>40</v>
      </c>
      <c r="J12" s="73"/>
      <c r="K12" s="7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>
        <v>10</v>
      </c>
    </row>
    <row r="13" spans="1:26" x14ac:dyDescent="0.25">
      <c r="A13" s="76" t="s">
        <v>35</v>
      </c>
      <c r="B13" s="76"/>
      <c r="C13" s="76"/>
      <c r="D13" s="76"/>
      <c r="E13" s="76"/>
      <c r="F13" s="10" t="s">
        <v>36</v>
      </c>
      <c r="G13" s="73">
        <v>2500</v>
      </c>
      <c r="H13" s="73"/>
      <c r="I13" s="73" t="s">
        <v>44</v>
      </c>
      <c r="J13" s="73"/>
      <c r="K13" s="7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>
        <v>11</v>
      </c>
    </row>
    <row r="14" spans="1:26" ht="21" x14ac:dyDescent="0.35">
      <c r="A14" s="71" t="s">
        <v>34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>
        <v>12</v>
      </c>
    </row>
    <row r="15" spans="1:26" ht="18.75" x14ac:dyDescent="0.3">
      <c r="A15" s="72" t="s">
        <v>30</v>
      </c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>
        <v>13</v>
      </c>
    </row>
    <row r="16" spans="1:26" x14ac:dyDescent="0.25">
      <c r="A16" s="39" t="s">
        <v>12</v>
      </c>
      <c r="B16" s="39"/>
      <c r="C16" s="39"/>
      <c r="D16" s="39"/>
      <c r="E16" s="39"/>
      <c r="F16" s="4" t="s">
        <v>21</v>
      </c>
      <c r="G16" s="4">
        <v>20000</v>
      </c>
      <c r="H16" s="4">
        <v>5500</v>
      </c>
      <c r="I16" s="37" t="s">
        <v>44</v>
      </c>
      <c r="J16" s="37"/>
      <c r="K16" s="37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>
        <v>14</v>
      </c>
    </row>
    <row r="17" spans="1:26" x14ac:dyDescent="0.25">
      <c r="A17" s="38" t="s">
        <v>13</v>
      </c>
      <c r="B17" s="38"/>
      <c r="C17" s="38"/>
      <c r="D17" s="38"/>
      <c r="E17" s="38"/>
      <c r="F17" s="5" t="s">
        <v>22</v>
      </c>
      <c r="G17" s="36">
        <v>5000</v>
      </c>
      <c r="H17" s="36"/>
      <c r="I17" s="36" t="s">
        <v>44</v>
      </c>
      <c r="J17" s="36"/>
      <c r="K17" s="36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>
        <v>15</v>
      </c>
    </row>
    <row r="18" spans="1:26" x14ac:dyDescent="0.25">
      <c r="A18" s="39" t="s">
        <v>14</v>
      </c>
      <c r="B18" s="39"/>
      <c r="C18" s="39"/>
      <c r="D18" s="39"/>
      <c r="E18" s="39"/>
      <c r="F18" s="4" t="s">
        <v>23</v>
      </c>
      <c r="G18" s="37">
        <v>1</v>
      </c>
      <c r="H18" s="37"/>
      <c r="I18" s="37" t="s">
        <v>47</v>
      </c>
      <c r="J18" s="37"/>
      <c r="K18" s="37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>
        <v>16</v>
      </c>
    </row>
    <row r="19" spans="1:26" x14ac:dyDescent="0.25">
      <c r="A19" s="38" t="s">
        <v>15</v>
      </c>
      <c r="B19" s="38"/>
      <c r="C19" s="38"/>
      <c r="D19" s="38"/>
      <c r="E19" s="38"/>
      <c r="F19" s="5" t="s">
        <v>25</v>
      </c>
      <c r="G19" s="36">
        <f>E47</f>
        <v>523598775598.29883</v>
      </c>
      <c r="H19" s="36"/>
      <c r="I19" s="36" t="s">
        <v>44</v>
      </c>
      <c r="J19" s="36"/>
      <c r="K19" s="36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>
        <v>17</v>
      </c>
    </row>
    <row r="20" spans="1:26" x14ac:dyDescent="0.25">
      <c r="A20" s="39" t="s">
        <v>16</v>
      </c>
      <c r="B20" s="39"/>
      <c r="C20" s="39"/>
      <c r="D20" s="39"/>
      <c r="E20" s="39"/>
      <c r="F20" s="4" t="s">
        <v>26</v>
      </c>
      <c r="G20" s="37">
        <f>E51</f>
        <v>523598775598.29883</v>
      </c>
      <c r="H20" s="37"/>
      <c r="I20" s="37" t="s">
        <v>42</v>
      </c>
      <c r="J20" s="37"/>
      <c r="K20" s="37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>
        <v>18</v>
      </c>
    </row>
    <row r="21" spans="1:26" x14ac:dyDescent="0.25">
      <c r="A21" s="38" t="s">
        <v>17</v>
      </c>
      <c r="B21" s="38"/>
      <c r="C21" s="38"/>
      <c r="D21" s="38"/>
      <c r="E21" s="38"/>
      <c r="F21" s="5" t="s">
        <v>27</v>
      </c>
      <c r="G21" s="36">
        <f>E55</f>
        <v>5000</v>
      </c>
      <c r="H21" s="36"/>
      <c r="I21" s="36" t="s">
        <v>45</v>
      </c>
      <c r="J21" s="36"/>
      <c r="K21" s="36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>
        <v>19</v>
      </c>
    </row>
    <row r="22" spans="1:26" x14ac:dyDescent="0.25">
      <c r="A22" s="39" t="s">
        <v>37</v>
      </c>
      <c r="B22" s="39"/>
      <c r="C22" s="39"/>
      <c r="D22" s="39"/>
      <c r="E22" s="39"/>
      <c r="F22" s="4"/>
      <c r="G22" s="37" t="s">
        <v>46</v>
      </c>
      <c r="H22" s="37"/>
      <c r="I22" s="37" t="s">
        <v>41</v>
      </c>
      <c r="J22" s="37"/>
      <c r="K22" s="37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>
        <v>20</v>
      </c>
    </row>
    <row r="23" spans="1:26" ht="18.75" x14ac:dyDescent="0.3">
      <c r="A23" s="45" t="s">
        <v>28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>
        <v>21</v>
      </c>
    </row>
    <row r="24" spans="1:26" x14ac:dyDescent="0.25">
      <c r="A24" s="67" t="s">
        <v>12</v>
      </c>
      <c r="B24" s="67"/>
      <c r="C24" s="67"/>
      <c r="D24" s="67"/>
      <c r="E24" s="67"/>
      <c r="F24" s="6" t="s">
        <v>21</v>
      </c>
      <c r="G24" s="6">
        <v>-20000</v>
      </c>
      <c r="H24" s="6">
        <v>10000</v>
      </c>
      <c r="I24" s="42" t="s">
        <v>44</v>
      </c>
      <c r="J24" s="42"/>
      <c r="K24" s="4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>
        <v>22</v>
      </c>
    </row>
    <row r="25" spans="1:26" x14ac:dyDescent="0.25">
      <c r="A25" s="68" t="s">
        <v>13</v>
      </c>
      <c r="B25" s="68"/>
      <c r="C25" s="68"/>
      <c r="D25" s="68"/>
      <c r="E25" s="68"/>
      <c r="F25" s="7" t="s">
        <v>22</v>
      </c>
      <c r="G25" s="34">
        <v>3500</v>
      </c>
      <c r="H25" s="34"/>
      <c r="I25" s="34" t="s">
        <v>44</v>
      </c>
      <c r="J25" s="34"/>
      <c r="K25" s="34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>
        <v>23</v>
      </c>
    </row>
    <row r="26" spans="1:26" x14ac:dyDescent="0.25">
      <c r="A26" s="67" t="s">
        <v>14</v>
      </c>
      <c r="B26" s="67"/>
      <c r="C26" s="67"/>
      <c r="D26" s="67"/>
      <c r="E26" s="67"/>
      <c r="F26" s="6" t="s">
        <v>23</v>
      </c>
      <c r="G26" s="42">
        <v>1</v>
      </c>
      <c r="H26" s="42"/>
      <c r="I26" s="42" t="s">
        <v>47</v>
      </c>
      <c r="J26" s="42"/>
      <c r="K26" s="4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>
        <v>24</v>
      </c>
    </row>
    <row r="27" spans="1:26" x14ac:dyDescent="0.25">
      <c r="A27" s="68" t="s">
        <v>15</v>
      </c>
      <c r="B27" s="68"/>
      <c r="C27" s="68"/>
      <c r="D27" s="68"/>
      <c r="E27" s="68"/>
      <c r="F27" s="7" t="s">
        <v>25</v>
      </c>
      <c r="G27" s="34">
        <f>E48</f>
        <v>179594380030.21649</v>
      </c>
      <c r="H27" s="34"/>
      <c r="I27" s="34" t="s">
        <v>44</v>
      </c>
      <c r="J27" s="34"/>
      <c r="K27" s="34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>
        <v>25</v>
      </c>
    </row>
    <row r="28" spans="1:26" x14ac:dyDescent="0.25">
      <c r="A28" s="67" t="s">
        <v>16</v>
      </c>
      <c r="B28" s="67"/>
      <c r="C28" s="67"/>
      <c r="D28" s="67"/>
      <c r="E28" s="67"/>
      <c r="F28" s="6" t="s">
        <v>26</v>
      </c>
      <c r="G28" s="42">
        <f>E52</f>
        <v>179594380030.21649</v>
      </c>
      <c r="H28" s="42"/>
      <c r="I28" s="42" t="s">
        <v>42</v>
      </c>
      <c r="J28" s="42"/>
      <c r="K28" s="42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>
        <v>26</v>
      </c>
    </row>
    <row r="29" spans="1:26" x14ac:dyDescent="0.25">
      <c r="A29" s="68" t="s">
        <v>17</v>
      </c>
      <c r="B29" s="68"/>
      <c r="C29" s="68"/>
      <c r="D29" s="68"/>
      <c r="E29" s="68"/>
      <c r="F29" s="7" t="s">
        <v>27</v>
      </c>
      <c r="G29" s="34">
        <f>E56</f>
        <v>3500</v>
      </c>
      <c r="H29" s="34"/>
      <c r="I29" s="34" t="s">
        <v>45</v>
      </c>
      <c r="J29" s="34"/>
      <c r="K29" s="34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>
        <v>27</v>
      </c>
    </row>
    <row r="30" spans="1:26" x14ac:dyDescent="0.25">
      <c r="A30" s="67" t="s">
        <v>37</v>
      </c>
      <c r="B30" s="67"/>
      <c r="C30" s="67"/>
      <c r="D30" s="67"/>
      <c r="E30" s="67"/>
      <c r="F30" s="6"/>
      <c r="G30" s="42" t="s">
        <v>46</v>
      </c>
      <c r="H30" s="42"/>
      <c r="I30" s="42" t="s">
        <v>41</v>
      </c>
      <c r="J30" s="42"/>
      <c r="K30" s="4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>
        <v>28</v>
      </c>
    </row>
    <row r="31" spans="1:26" ht="18.75" x14ac:dyDescent="0.3">
      <c r="A31" s="43" t="s">
        <v>29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>
        <v>29</v>
      </c>
    </row>
    <row r="32" spans="1:26" x14ac:dyDescent="0.25">
      <c r="A32" s="40" t="s">
        <v>12</v>
      </c>
      <c r="B32" s="40"/>
      <c r="C32" s="40"/>
      <c r="D32" s="40"/>
      <c r="E32" s="40"/>
      <c r="F32" s="8" t="s">
        <v>21</v>
      </c>
      <c r="G32" s="8">
        <v>-5000</v>
      </c>
      <c r="H32" s="8">
        <v>-15000</v>
      </c>
      <c r="I32" s="41" t="s">
        <v>44</v>
      </c>
      <c r="J32" s="41"/>
      <c r="K32" s="4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>
        <v>30</v>
      </c>
    </row>
    <row r="33" spans="1:26" x14ac:dyDescent="0.25">
      <c r="A33" s="44" t="s">
        <v>13</v>
      </c>
      <c r="B33" s="44"/>
      <c r="C33" s="44"/>
      <c r="D33" s="44"/>
      <c r="E33" s="44"/>
      <c r="F33" s="9" t="s">
        <v>22</v>
      </c>
      <c r="G33" s="35">
        <v>2000</v>
      </c>
      <c r="H33" s="35"/>
      <c r="I33" s="35" t="s">
        <v>44</v>
      </c>
      <c r="J33" s="35"/>
      <c r="K33" s="35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>
        <v>31</v>
      </c>
    </row>
    <row r="34" spans="1:26" x14ac:dyDescent="0.25">
      <c r="A34" s="40" t="s">
        <v>14</v>
      </c>
      <c r="B34" s="40"/>
      <c r="C34" s="40"/>
      <c r="D34" s="40"/>
      <c r="E34" s="40"/>
      <c r="F34" s="8" t="s">
        <v>23</v>
      </c>
      <c r="G34" s="41">
        <v>1</v>
      </c>
      <c r="H34" s="41"/>
      <c r="I34" s="41" t="s">
        <v>47</v>
      </c>
      <c r="J34" s="41"/>
      <c r="K34" s="4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>
        <v>32</v>
      </c>
    </row>
    <row r="35" spans="1:26" x14ac:dyDescent="0.25">
      <c r="A35" s="44" t="s">
        <v>15</v>
      </c>
      <c r="B35" s="44"/>
      <c r="C35" s="44"/>
      <c r="D35" s="44"/>
      <c r="E35" s="44"/>
      <c r="F35" s="9" t="s">
        <v>25</v>
      </c>
      <c r="G35" s="35">
        <f>E49</f>
        <v>33510321638.291122</v>
      </c>
      <c r="H35" s="35"/>
      <c r="I35" s="35" t="s">
        <v>44</v>
      </c>
      <c r="J35" s="35"/>
      <c r="K35" s="35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>
        <v>33</v>
      </c>
    </row>
    <row r="36" spans="1:26" x14ac:dyDescent="0.25">
      <c r="A36" s="40" t="s">
        <v>16</v>
      </c>
      <c r="B36" s="40"/>
      <c r="C36" s="40"/>
      <c r="D36" s="40"/>
      <c r="E36" s="40"/>
      <c r="F36" s="8" t="s">
        <v>26</v>
      </c>
      <c r="G36" s="41">
        <f>E53</f>
        <v>33510321638.291122</v>
      </c>
      <c r="H36" s="41"/>
      <c r="I36" s="41" t="s">
        <v>42</v>
      </c>
      <c r="J36" s="41"/>
      <c r="K36" s="4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>
        <v>34</v>
      </c>
    </row>
    <row r="37" spans="1:26" x14ac:dyDescent="0.25">
      <c r="A37" s="44" t="s">
        <v>17</v>
      </c>
      <c r="B37" s="44"/>
      <c r="C37" s="44"/>
      <c r="D37" s="44"/>
      <c r="E37" s="44"/>
      <c r="F37" s="9" t="s">
        <v>27</v>
      </c>
      <c r="G37" s="35">
        <f>E57</f>
        <v>2000</v>
      </c>
      <c r="H37" s="35"/>
      <c r="I37" s="35" t="s">
        <v>45</v>
      </c>
      <c r="J37" s="35"/>
      <c r="K37" s="35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>
        <v>35</v>
      </c>
    </row>
    <row r="38" spans="1:26" x14ac:dyDescent="0.25">
      <c r="A38" s="40" t="s">
        <v>37</v>
      </c>
      <c r="B38" s="40"/>
      <c r="C38" s="40"/>
      <c r="D38" s="40"/>
      <c r="E38" s="40"/>
      <c r="F38" s="8"/>
      <c r="G38" s="41" t="s">
        <v>46</v>
      </c>
      <c r="H38" s="41"/>
      <c r="I38" s="41" t="s">
        <v>41</v>
      </c>
      <c r="J38" s="41"/>
      <c r="K38" s="4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>
        <v>36</v>
      </c>
    </row>
    <row r="39" spans="1:26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>
        <v>37</v>
      </c>
    </row>
    <row r="40" spans="1:26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>
        <v>38</v>
      </c>
    </row>
    <row r="41" spans="1:26" ht="15" customHeight="1" x14ac:dyDescent="0.25">
      <c r="A41" s="46" t="s">
        <v>50</v>
      </c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>
        <v>39</v>
      </c>
    </row>
    <row r="42" spans="1:26" ht="15" customHeight="1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>
        <v>40</v>
      </c>
    </row>
    <row r="43" spans="1:26" x14ac:dyDescent="0.25">
      <c r="A43" s="48"/>
      <c r="B43" s="49"/>
      <c r="C43" s="49"/>
      <c r="D43" s="49"/>
      <c r="E43" s="49"/>
      <c r="F43" s="49"/>
      <c r="G43" s="49"/>
      <c r="H43" s="49"/>
      <c r="I43" s="49"/>
      <c r="J43" s="49"/>
      <c r="K43" s="50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>
        <v>41</v>
      </c>
    </row>
    <row r="44" spans="1:26" x14ac:dyDescent="0.25">
      <c r="A44" s="51"/>
      <c r="B44" s="52"/>
      <c r="C44" s="52"/>
      <c r="D44" s="52"/>
      <c r="E44" s="52"/>
      <c r="F44" s="52"/>
      <c r="G44" s="52"/>
      <c r="H44" s="52"/>
      <c r="I44" s="52"/>
      <c r="J44" s="52"/>
      <c r="K44" s="53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>
        <v>42</v>
      </c>
    </row>
    <row r="45" spans="1:26" ht="18.75" x14ac:dyDescent="0.3">
      <c r="A45" s="65" t="s">
        <v>54</v>
      </c>
      <c r="B45" s="65"/>
      <c r="C45" s="65"/>
      <c r="D45" s="65"/>
      <c r="E45" s="65"/>
      <c r="F45" s="65"/>
      <c r="G45" s="65"/>
      <c r="H45" s="65"/>
      <c r="I45" s="65"/>
      <c r="J45" s="65"/>
      <c r="K45" s="66"/>
      <c r="L45" s="55" t="s">
        <v>71</v>
      </c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7"/>
      <c r="Z45">
        <v>43</v>
      </c>
    </row>
    <row r="46" spans="1:26" x14ac:dyDescent="0.25">
      <c r="A46" s="29"/>
      <c r="B46" s="30"/>
      <c r="C46" s="30"/>
      <c r="D46" s="31"/>
      <c r="E46" s="14" t="s">
        <v>51</v>
      </c>
      <c r="F46" s="14" t="s">
        <v>52</v>
      </c>
      <c r="G46" s="58" t="s">
        <v>53</v>
      </c>
      <c r="H46" s="58"/>
      <c r="I46" s="14"/>
      <c r="J46" s="14"/>
      <c r="K46" s="15"/>
      <c r="L46" s="19" t="s">
        <v>68</v>
      </c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1"/>
      <c r="Z46">
        <v>44</v>
      </c>
    </row>
    <row r="47" spans="1:26" ht="15.75" x14ac:dyDescent="0.25">
      <c r="A47" s="62" t="s">
        <v>55</v>
      </c>
      <c r="B47" s="63"/>
      <c r="C47" s="63"/>
      <c r="D47" s="64"/>
      <c r="E47" s="3">
        <f>4/3*F47*G47</f>
        <v>523598775598.29883</v>
      </c>
      <c r="F47" s="3">
        <f>PI()</f>
        <v>3.1415926535897931</v>
      </c>
      <c r="G47" s="59">
        <f>G17^3</f>
        <v>125000000000</v>
      </c>
      <c r="H47" s="60"/>
      <c r="I47" s="3"/>
      <c r="J47" s="3"/>
      <c r="K47" s="16"/>
      <c r="L47" s="18" t="s">
        <v>65</v>
      </c>
      <c r="M47" s="18" t="s">
        <v>66</v>
      </c>
      <c r="N47" s="18" t="s">
        <v>1</v>
      </c>
      <c r="O47" s="18" t="s">
        <v>67</v>
      </c>
      <c r="P47" s="22" t="s">
        <v>69</v>
      </c>
      <c r="Q47" s="23"/>
      <c r="R47" s="17"/>
      <c r="S47" s="17"/>
      <c r="T47" s="17"/>
      <c r="U47" s="17"/>
      <c r="V47" s="17"/>
      <c r="W47" s="17"/>
      <c r="X47" s="17"/>
      <c r="Y47" s="17"/>
      <c r="Z47">
        <v>45</v>
      </c>
    </row>
    <row r="48" spans="1:26" ht="15.75" x14ac:dyDescent="0.25">
      <c r="A48" s="32" t="s">
        <v>56</v>
      </c>
      <c r="B48" s="32"/>
      <c r="C48" s="32"/>
      <c r="D48" s="32"/>
      <c r="E48" s="3">
        <f>4/3*F48*G48</f>
        <v>179594380030.21649</v>
      </c>
      <c r="F48" s="3">
        <f>PI()</f>
        <v>3.1415926535897931</v>
      </c>
      <c r="G48" s="61">
        <f>G25^3</f>
        <v>42875000000</v>
      </c>
      <c r="H48" s="61"/>
      <c r="I48" s="3"/>
      <c r="J48" s="3"/>
      <c r="K48" s="16"/>
      <c r="L48" s="17">
        <f>G10-1+G11-1</f>
        <v>-2</v>
      </c>
      <c r="M48" s="17">
        <f>G12-1*1/2</f>
        <v>-0.5</v>
      </c>
      <c r="N48" s="17">
        <f>G5</f>
        <v>0.5</v>
      </c>
      <c r="O48" s="17">
        <f>G5 ^ 2</f>
        <v>0.25</v>
      </c>
      <c r="P48" s="24">
        <f>L48*N48+M48*O48</f>
        <v>-1.125</v>
      </c>
      <c r="Q48" s="25"/>
      <c r="R48" s="17"/>
      <c r="S48" s="17"/>
      <c r="T48" s="17"/>
      <c r="U48" s="17"/>
      <c r="V48" s="17"/>
      <c r="W48" s="17"/>
      <c r="X48" s="17"/>
      <c r="Y48" s="17"/>
      <c r="Z48">
        <v>46</v>
      </c>
    </row>
    <row r="49" spans="1:26" ht="15.75" x14ac:dyDescent="0.25">
      <c r="A49" s="32" t="s">
        <v>57</v>
      </c>
      <c r="B49" s="32"/>
      <c r="C49" s="32"/>
      <c r="D49" s="32"/>
      <c r="E49" s="3">
        <f>4/3*F49*G49</f>
        <v>33510321638.291122</v>
      </c>
      <c r="F49" s="3">
        <f>PI()</f>
        <v>3.1415926535897931</v>
      </c>
      <c r="G49" s="61">
        <f>G33^3</f>
        <v>8000000000</v>
      </c>
      <c r="H49" s="61"/>
      <c r="I49" s="3"/>
      <c r="J49" s="3"/>
      <c r="K49" s="16"/>
      <c r="L49" s="19" t="s">
        <v>70</v>
      </c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1"/>
      <c r="Z49">
        <v>47</v>
      </c>
    </row>
    <row r="50" spans="1:26" ht="15.75" x14ac:dyDescent="0.25">
      <c r="A50" s="26"/>
      <c r="B50" s="27"/>
      <c r="C50" s="27"/>
      <c r="D50" s="28"/>
      <c r="E50" s="14" t="s">
        <v>51</v>
      </c>
      <c r="F50" s="14"/>
      <c r="G50" s="14"/>
      <c r="H50" s="14"/>
      <c r="I50" s="14"/>
      <c r="J50" s="14"/>
      <c r="K50" s="15"/>
      <c r="L50" s="18" t="s">
        <v>65</v>
      </c>
      <c r="M50" s="18" t="s">
        <v>66</v>
      </c>
      <c r="N50" s="18" t="s">
        <v>1</v>
      </c>
      <c r="O50" s="18" t="s">
        <v>67</v>
      </c>
      <c r="P50" s="22" t="s">
        <v>69</v>
      </c>
      <c r="Q50" s="23"/>
      <c r="R50" s="17"/>
      <c r="S50" s="17"/>
      <c r="T50" s="17"/>
      <c r="U50" s="17"/>
      <c r="V50" s="17"/>
      <c r="W50" s="17"/>
      <c r="X50" s="17"/>
      <c r="Y50" s="17"/>
      <c r="Z50">
        <v>48</v>
      </c>
    </row>
    <row r="51" spans="1:26" ht="15.75" x14ac:dyDescent="0.25">
      <c r="A51" s="32" t="s">
        <v>58</v>
      </c>
      <c r="B51" s="32"/>
      <c r="C51" s="32"/>
      <c r="D51" s="32"/>
      <c r="E51" s="3">
        <f>G18*G19</f>
        <v>523598775598.29883</v>
      </c>
      <c r="F51" s="3"/>
      <c r="G51" s="3"/>
      <c r="H51" s="3"/>
      <c r="I51" s="3"/>
      <c r="J51" s="3"/>
      <c r="K51" s="16"/>
      <c r="L51" s="17">
        <f>H10-1+H11-1</f>
        <v>-2</v>
      </c>
      <c r="M51" s="17">
        <f>H12-1*1/2</f>
        <v>-0.5</v>
      </c>
      <c r="N51" s="17">
        <f>G5</f>
        <v>0.5</v>
      </c>
      <c r="O51" s="17">
        <f>G5 ^ 2</f>
        <v>0.25</v>
      </c>
      <c r="P51" s="24">
        <f>L51*N51+M51*O51</f>
        <v>-1.125</v>
      </c>
      <c r="Q51" s="25"/>
      <c r="R51" s="17"/>
      <c r="S51" s="17"/>
      <c r="T51" s="17"/>
      <c r="U51" s="17"/>
      <c r="V51" s="17"/>
      <c r="W51" s="17"/>
      <c r="X51" s="17"/>
      <c r="Y51" s="17"/>
      <c r="Z51">
        <v>49</v>
      </c>
    </row>
    <row r="52" spans="1:26" ht="15.75" x14ac:dyDescent="0.25">
      <c r="A52" s="32" t="s">
        <v>59</v>
      </c>
      <c r="B52" s="32"/>
      <c r="C52" s="32"/>
      <c r="D52" s="32"/>
      <c r="E52" s="3">
        <f>G26*G27</f>
        <v>179594380030.21649</v>
      </c>
      <c r="F52" s="3"/>
      <c r="G52" s="3"/>
      <c r="H52" s="3"/>
      <c r="I52" s="3"/>
      <c r="J52" s="3"/>
      <c r="K52" s="16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>
        <v>50</v>
      </c>
    </row>
    <row r="53" spans="1:26" ht="15.75" x14ac:dyDescent="0.25">
      <c r="A53" s="32" t="s">
        <v>60</v>
      </c>
      <c r="B53" s="32"/>
      <c r="C53" s="32"/>
      <c r="D53" s="32"/>
      <c r="E53" s="3">
        <f>G34*G35</f>
        <v>33510321638.291122</v>
      </c>
      <c r="F53" s="3"/>
      <c r="G53" s="3"/>
      <c r="H53" s="3"/>
      <c r="I53" s="3"/>
      <c r="J53" s="3"/>
      <c r="K53" s="16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>
        <v>51</v>
      </c>
    </row>
    <row r="54" spans="1:26" ht="15.75" x14ac:dyDescent="0.25">
      <c r="A54" s="26"/>
      <c r="B54" s="27"/>
      <c r="C54" s="27"/>
      <c r="D54" s="28"/>
      <c r="E54" s="14" t="s">
        <v>51</v>
      </c>
      <c r="F54" s="14"/>
      <c r="G54" s="14"/>
      <c r="H54" s="14"/>
      <c r="I54" s="14"/>
      <c r="J54" s="14"/>
      <c r="K54" s="15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>
        <v>52</v>
      </c>
    </row>
    <row r="55" spans="1:26" ht="15.75" x14ac:dyDescent="0.25">
      <c r="A55" s="32" t="s">
        <v>61</v>
      </c>
      <c r="B55" s="32"/>
      <c r="C55" s="32"/>
      <c r="D55" s="32"/>
      <c r="E55" s="3">
        <f>G17*G7</f>
        <v>5000</v>
      </c>
      <c r="F55" s="3"/>
      <c r="G55" s="3"/>
      <c r="H55" s="3"/>
      <c r="I55" s="3"/>
      <c r="J55" s="3"/>
      <c r="K55" s="16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>
        <v>53</v>
      </c>
    </row>
    <row r="56" spans="1:26" ht="15.75" x14ac:dyDescent="0.25">
      <c r="A56" s="32" t="s">
        <v>62</v>
      </c>
      <c r="B56" s="32"/>
      <c r="C56" s="32"/>
      <c r="D56" s="32"/>
      <c r="E56" s="3">
        <f>G25*G7</f>
        <v>3500</v>
      </c>
      <c r="F56" s="3"/>
      <c r="G56" s="3"/>
      <c r="H56" s="3"/>
      <c r="I56" s="3"/>
      <c r="J56" s="3"/>
      <c r="K56" s="16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>
        <v>54</v>
      </c>
    </row>
    <row r="57" spans="1:26" ht="15.75" x14ac:dyDescent="0.25">
      <c r="A57" s="32" t="s">
        <v>63</v>
      </c>
      <c r="B57" s="32"/>
      <c r="C57" s="32"/>
      <c r="D57" s="32"/>
      <c r="E57" s="3">
        <f>G33*G7</f>
        <v>2000</v>
      </c>
      <c r="F57" s="3"/>
      <c r="G57" s="3"/>
      <c r="H57" s="3"/>
      <c r="I57" s="3"/>
      <c r="J57" s="3"/>
      <c r="K57" s="16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>
        <v>55</v>
      </c>
    </row>
    <row r="58" spans="1:26" x14ac:dyDescent="0.25">
      <c r="A58" s="2"/>
      <c r="B58" s="2"/>
      <c r="C58" s="2"/>
      <c r="D58" s="2"/>
      <c r="E58" s="3"/>
      <c r="F58" s="3"/>
      <c r="G58" s="3"/>
      <c r="H58" s="3"/>
      <c r="I58" s="3"/>
      <c r="J58" s="3"/>
      <c r="K58" s="16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>
        <v>56</v>
      </c>
    </row>
    <row r="59" spans="1:26" x14ac:dyDescent="0.25">
      <c r="A59" s="2"/>
      <c r="B59" s="2"/>
      <c r="C59" s="2"/>
      <c r="D59" s="2"/>
      <c r="E59" s="3"/>
      <c r="F59" s="3"/>
      <c r="G59" s="3"/>
      <c r="H59" s="3"/>
      <c r="I59" s="3"/>
      <c r="J59" s="3"/>
      <c r="K59" s="16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>
        <v>57</v>
      </c>
    </row>
    <row r="60" spans="1:26" x14ac:dyDescent="0.25">
      <c r="A60" s="2"/>
      <c r="B60" s="2"/>
      <c r="C60" s="2"/>
      <c r="D60" s="2"/>
      <c r="E60" s="3"/>
      <c r="F60" s="3"/>
      <c r="G60" s="3"/>
      <c r="H60" s="3"/>
      <c r="I60" s="3"/>
      <c r="J60" s="3"/>
      <c r="K60" s="16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>
        <v>58</v>
      </c>
    </row>
    <row r="61" spans="1:26" x14ac:dyDescent="0.25">
      <c r="A61" s="2"/>
      <c r="B61" s="2"/>
      <c r="C61" s="2"/>
      <c r="D61" s="2"/>
      <c r="E61" s="3"/>
      <c r="F61" s="3"/>
      <c r="G61" s="3"/>
      <c r="H61" s="3"/>
      <c r="I61" s="3"/>
      <c r="J61" s="3"/>
      <c r="K61" s="16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>
        <v>59</v>
      </c>
    </row>
    <row r="62" spans="1:26" x14ac:dyDescent="0.25">
      <c r="A62" s="2"/>
      <c r="B62" s="2"/>
      <c r="C62" s="2"/>
      <c r="D62" s="2"/>
      <c r="E62" s="3"/>
      <c r="F62" s="3"/>
      <c r="G62" s="3"/>
      <c r="H62" s="3"/>
      <c r="I62" s="3"/>
      <c r="J62" s="3"/>
      <c r="K62" s="16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>
        <v>60</v>
      </c>
    </row>
    <row r="63" spans="1:26" x14ac:dyDescent="0.25">
      <c r="A63" s="2"/>
      <c r="B63" s="2"/>
      <c r="C63" s="2"/>
      <c r="D63" s="2"/>
      <c r="E63" s="3"/>
      <c r="F63" s="3"/>
      <c r="G63" s="3"/>
      <c r="H63" s="3"/>
      <c r="I63" s="3"/>
      <c r="J63" s="3"/>
      <c r="K63" s="16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>
        <v>61</v>
      </c>
    </row>
    <row r="64" spans="1:26" x14ac:dyDescent="0.25">
      <c r="A64" s="2"/>
      <c r="B64" s="2"/>
      <c r="C64" s="2"/>
      <c r="D64" s="2"/>
      <c r="E64" s="3"/>
      <c r="F64" s="3"/>
      <c r="G64" s="3"/>
      <c r="H64" s="3"/>
      <c r="I64" s="3"/>
      <c r="J64" s="3"/>
      <c r="K64" s="16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>
        <v>62</v>
      </c>
    </row>
    <row r="65" spans="1:26" x14ac:dyDescent="0.25">
      <c r="A65" s="2"/>
      <c r="B65" s="2"/>
      <c r="C65" s="2"/>
      <c r="D65" s="2"/>
      <c r="E65" s="3"/>
      <c r="F65" s="3"/>
      <c r="G65" s="3"/>
      <c r="H65" s="3"/>
      <c r="I65" s="3"/>
      <c r="J65" s="3"/>
      <c r="K65" s="16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>
        <v>63</v>
      </c>
    </row>
    <row r="66" spans="1:26" x14ac:dyDescent="0.25">
      <c r="A66" s="2"/>
      <c r="B66" s="2"/>
      <c r="C66" s="2"/>
      <c r="D66" s="2"/>
      <c r="E66" s="3"/>
      <c r="F66" s="3"/>
      <c r="G66" s="3"/>
      <c r="H66" s="3"/>
      <c r="I66" s="3"/>
      <c r="J66" s="3"/>
      <c r="K66" s="16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>
        <v>64</v>
      </c>
    </row>
    <row r="67" spans="1:26" x14ac:dyDescent="0.25">
      <c r="A67" s="2"/>
      <c r="B67" s="2"/>
      <c r="C67" s="2"/>
      <c r="D67" s="2"/>
      <c r="E67" s="3"/>
      <c r="F67" s="3"/>
      <c r="G67" s="3"/>
      <c r="H67" s="3"/>
      <c r="I67" s="3"/>
      <c r="J67" s="3"/>
      <c r="K67" s="16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>
        <v>65</v>
      </c>
    </row>
    <row r="68" spans="1:26" x14ac:dyDescent="0.25">
      <c r="A68" s="2"/>
      <c r="B68" s="2"/>
      <c r="C68" s="2"/>
      <c r="D68" s="2"/>
      <c r="E68" s="3"/>
      <c r="F68" s="3"/>
      <c r="G68" s="3"/>
      <c r="H68" s="3"/>
      <c r="I68" s="3"/>
      <c r="J68" s="3"/>
      <c r="K68" s="16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>
        <v>66</v>
      </c>
    </row>
    <row r="69" spans="1:26" x14ac:dyDescent="0.25">
      <c r="A69" s="2"/>
      <c r="B69" s="2"/>
      <c r="C69" s="2"/>
      <c r="D69" s="2"/>
      <c r="E69" s="3"/>
      <c r="F69" s="3"/>
      <c r="G69" s="3"/>
      <c r="H69" s="3"/>
      <c r="I69" s="3"/>
      <c r="J69" s="3"/>
      <c r="K69" s="16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>
        <v>67</v>
      </c>
    </row>
    <row r="70" spans="1:26" x14ac:dyDescent="0.25">
      <c r="A70" s="2"/>
      <c r="B70" s="2"/>
      <c r="C70" s="2"/>
      <c r="D70" s="2"/>
      <c r="E70" s="3"/>
      <c r="F70" s="3"/>
      <c r="G70" s="3"/>
      <c r="H70" s="3"/>
      <c r="I70" s="3"/>
      <c r="J70" s="3"/>
      <c r="K70" s="16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>
        <v>68</v>
      </c>
    </row>
    <row r="71" spans="1:26" x14ac:dyDescent="0.25">
      <c r="A71" s="2"/>
      <c r="B71" s="2"/>
      <c r="C71" s="2"/>
      <c r="D71" s="2"/>
      <c r="E71" s="3"/>
      <c r="F71" s="3"/>
      <c r="G71" s="3"/>
      <c r="H71" s="3"/>
      <c r="I71" s="3"/>
      <c r="J71" s="3"/>
      <c r="K71" s="16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>
        <v>69</v>
      </c>
    </row>
    <row r="72" spans="1:26" x14ac:dyDescent="0.25">
      <c r="A72" s="2"/>
      <c r="B72" s="2"/>
      <c r="C72" s="2"/>
      <c r="D72" s="2"/>
      <c r="E72" s="3"/>
      <c r="F72" s="3"/>
      <c r="G72" s="3"/>
      <c r="H72" s="3"/>
      <c r="I72" s="3"/>
      <c r="J72" s="3"/>
      <c r="K72" s="16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>
        <v>70</v>
      </c>
    </row>
    <row r="73" spans="1:26" x14ac:dyDescent="0.25">
      <c r="A73" s="2"/>
      <c r="B73" s="2"/>
      <c r="C73" s="2"/>
      <c r="D73" s="2"/>
      <c r="E73" s="3"/>
      <c r="F73" s="3"/>
      <c r="G73" s="3"/>
      <c r="H73" s="3"/>
      <c r="I73" s="3"/>
      <c r="J73" s="3"/>
      <c r="K73" s="16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>
        <v>71</v>
      </c>
    </row>
    <row r="74" spans="1:26" x14ac:dyDescent="0.25">
      <c r="A74" s="2"/>
      <c r="B74" s="2"/>
      <c r="C74" s="2"/>
      <c r="D74" s="2"/>
      <c r="E74" s="3"/>
      <c r="F74" s="3"/>
      <c r="G74" s="3"/>
      <c r="H74" s="3"/>
      <c r="I74" s="3"/>
      <c r="J74" s="3"/>
      <c r="K74" s="16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>
        <v>72</v>
      </c>
    </row>
    <row r="75" spans="1:26" x14ac:dyDescent="0.25">
      <c r="A75" s="2"/>
      <c r="B75" s="2"/>
      <c r="C75" s="2"/>
      <c r="D75" s="2"/>
      <c r="E75" s="3"/>
      <c r="F75" s="3"/>
      <c r="G75" s="3"/>
      <c r="H75" s="3"/>
      <c r="I75" s="3"/>
      <c r="J75" s="3"/>
      <c r="K75" s="16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>
        <v>73</v>
      </c>
    </row>
    <row r="76" spans="1:26" x14ac:dyDescent="0.25">
      <c r="A76" s="2"/>
      <c r="B76" s="2"/>
      <c r="C76" s="2"/>
      <c r="D76" s="2"/>
      <c r="E76" s="3"/>
      <c r="F76" s="3"/>
      <c r="G76" s="3"/>
      <c r="H76" s="3"/>
      <c r="I76" s="3"/>
      <c r="J76" s="3"/>
      <c r="K76" s="16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>
        <v>74</v>
      </c>
    </row>
    <row r="77" spans="1:26" x14ac:dyDescent="0.25">
      <c r="A77" s="2"/>
      <c r="B77" s="2"/>
      <c r="C77" s="2"/>
      <c r="D77" s="2"/>
      <c r="E77" s="3"/>
      <c r="F77" s="3"/>
      <c r="G77" s="3"/>
      <c r="H77" s="3"/>
      <c r="I77" s="3"/>
      <c r="J77" s="3"/>
      <c r="K77" s="16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>
        <v>75</v>
      </c>
    </row>
    <row r="78" spans="1:26" x14ac:dyDescent="0.25">
      <c r="A78" s="2"/>
      <c r="B78" s="2"/>
      <c r="C78" s="2"/>
      <c r="D78" s="2"/>
      <c r="E78" s="3"/>
      <c r="F78" s="3"/>
      <c r="G78" s="3"/>
      <c r="H78" s="3"/>
      <c r="I78" s="3"/>
      <c r="J78" s="3"/>
      <c r="K78" s="16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>
        <v>76</v>
      </c>
    </row>
    <row r="79" spans="1:26" x14ac:dyDescent="0.25">
      <c r="A79" s="2"/>
      <c r="B79" s="2"/>
      <c r="C79" s="2"/>
      <c r="D79" s="2"/>
      <c r="E79" s="3"/>
      <c r="F79" s="3"/>
      <c r="G79" s="3"/>
      <c r="H79" s="3"/>
      <c r="I79" s="3"/>
      <c r="J79" s="3"/>
      <c r="K79" s="16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>
        <v>77</v>
      </c>
    </row>
    <row r="80" spans="1:26" x14ac:dyDescent="0.25">
      <c r="A80" s="2"/>
      <c r="B80" s="2"/>
      <c r="C80" s="2"/>
      <c r="D80" s="2"/>
      <c r="E80" s="3"/>
      <c r="F80" s="3"/>
      <c r="G80" s="3"/>
      <c r="H80" s="3"/>
      <c r="I80" s="3"/>
      <c r="J80" s="3"/>
      <c r="K80" s="16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>
        <v>78</v>
      </c>
    </row>
    <row r="81" spans="1:26" x14ac:dyDescent="0.25">
      <c r="A81" s="2"/>
      <c r="B81" s="2"/>
      <c r="C81" s="2"/>
      <c r="D81" s="2"/>
      <c r="E81" s="3"/>
      <c r="F81" s="3"/>
      <c r="G81" s="3"/>
      <c r="H81" s="3"/>
      <c r="I81" s="3"/>
      <c r="J81" s="3"/>
      <c r="K81" s="16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>
        <v>79</v>
      </c>
    </row>
    <row r="82" spans="1:26" x14ac:dyDescent="0.25">
      <c r="A82" s="2"/>
      <c r="B82" s="2"/>
      <c r="C82" s="2"/>
      <c r="D82" s="2"/>
      <c r="E82" s="3"/>
      <c r="F82" s="3"/>
      <c r="G82" s="3"/>
      <c r="H82" s="3"/>
      <c r="I82" s="3"/>
      <c r="J82" s="3"/>
      <c r="K82" s="16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>
        <v>80</v>
      </c>
    </row>
    <row r="83" spans="1:26" x14ac:dyDescent="0.25">
      <c r="A83" s="2"/>
      <c r="B83" s="2"/>
      <c r="C83" s="2"/>
      <c r="D83" s="2"/>
      <c r="E83" s="3"/>
      <c r="F83" s="3"/>
      <c r="G83" s="3"/>
      <c r="H83" s="3"/>
      <c r="I83" s="3"/>
      <c r="J83" s="3"/>
      <c r="K83" s="16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>
        <v>81</v>
      </c>
    </row>
    <row r="84" spans="1:26" x14ac:dyDescent="0.25">
      <c r="A84" s="2"/>
      <c r="B84" s="2"/>
      <c r="C84" s="2"/>
      <c r="D84" s="2"/>
      <c r="E84" s="3"/>
      <c r="F84" s="3"/>
      <c r="G84" s="3"/>
      <c r="H84" s="3"/>
      <c r="I84" s="3"/>
      <c r="J84" s="3"/>
      <c r="K84" s="16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>
        <v>82</v>
      </c>
    </row>
    <row r="85" spans="1:26" x14ac:dyDescent="0.25">
      <c r="A85" s="2"/>
      <c r="B85" s="2"/>
      <c r="C85" s="2"/>
      <c r="D85" s="2"/>
      <c r="E85" s="3"/>
      <c r="F85" s="3"/>
      <c r="G85" s="3"/>
      <c r="H85" s="3"/>
      <c r="I85" s="3"/>
      <c r="J85" s="3"/>
      <c r="K85" s="16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>
        <v>83</v>
      </c>
    </row>
    <row r="86" spans="1:26" x14ac:dyDescent="0.25">
      <c r="A86" s="2"/>
      <c r="B86" s="2"/>
      <c r="C86" s="2"/>
      <c r="D86" s="2"/>
      <c r="E86" s="3"/>
      <c r="F86" s="3"/>
      <c r="G86" s="3"/>
      <c r="H86" s="3"/>
      <c r="I86" s="3"/>
      <c r="J86" s="3"/>
      <c r="K86" s="16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>
        <v>84</v>
      </c>
    </row>
    <row r="87" spans="1:26" x14ac:dyDescent="0.25">
      <c r="A87" s="2"/>
      <c r="B87" s="2"/>
      <c r="C87" s="2"/>
      <c r="D87" s="2"/>
      <c r="E87" s="3"/>
      <c r="F87" s="3"/>
      <c r="G87" s="3"/>
      <c r="H87" s="3"/>
      <c r="I87" s="3"/>
      <c r="J87" s="3"/>
      <c r="K87" s="16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>
        <v>85</v>
      </c>
    </row>
    <row r="88" spans="1:26" x14ac:dyDescent="0.25">
      <c r="A88" s="2"/>
      <c r="B88" s="2"/>
      <c r="C88" s="2"/>
      <c r="D88" s="2"/>
      <c r="E88" s="3"/>
      <c r="F88" s="3"/>
      <c r="G88" s="3"/>
      <c r="H88" s="3"/>
      <c r="I88" s="3"/>
      <c r="J88" s="3"/>
      <c r="K88" s="16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>
        <v>86</v>
      </c>
    </row>
    <row r="89" spans="1:26" x14ac:dyDescent="0.25">
      <c r="A89" s="2"/>
      <c r="B89" s="2"/>
      <c r="C89" s="2"/>
      <c r="D89" s="2"/>
      <c r="E89" s="3"/>
      <c r="F89" s="3"/>
      <c r="G89" s="3"/>
      <c r="H89" s="3"/>
      <c r="I89" s="3"/>
      <c r="J89" s="3"/>
      <c r="K89" s="16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>
        <v>87</v>
      </c>
    </row>
    <row r="90" spans="1:26" x14ac:dyDescent="0.25">
      <c r="A90" s="2"/>
      <c r="B90" s="2"/>
      <c r="C90" s="2"/>
      <c r="D90" s="2"/>
      <c r="E90" s="3"/>
      <c r="F90" s="3"/>
      <c r="G90" s="3"/>
      <c r="H90" s="3"/>
      <c r="I90" s="3"/>
      <c r="J90" s="3"/>
      <c r="K90" s="16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>
        <v>88</v>
      </c>
    </row>
    <row r="91" spans="1:26" x14ac:dyDescent="0.25">
      <c r="A91" s="2"/>
      <c r="B91" s="2"/>
      <c r="C91" s="2"/>
      <c r="D91" s="2"/>
      <c r="E91" s="3"/>
      <c r="F91" s="3"/>
      <c r="G91" s="3"/>
      <c r="H91" s="3"/>
      <c r="I91" s="3"/>
      <c r="J91" s="3"/>
      <c r="K91" s="16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>
        <v>89</v>
      </c>
    </row>
    <row r="92" spans="1:26" x14ac:dyDescent="0.25">
      <c r="Z92">
        <v>90</v>
      </c>
    </row>
    <row r="93" spans="1:26" x14ac:dyDescent="0.25">
      <c r="Z93">
        <v>91</v>
      </c>
    </row>
    <row r="94" spans="1:26" x14ac:dyDescent="0.25">
      <c r="Z94">
        <v>92</v>
      </c>
    </row>
    <row r="95" spans="1:26" x14ac:dyDescent="0.25">
      <c r="Z95">
        <v>93</v>
      </c>
    </row>
    <row r="96" spans="1:26" x14ac:dyDescent="0.25">
      <c r="Z96">
        <v>94</v>
      </c>
    </row>
    <row r="97" spans="26:26" x14ac:dyDescent="0.25">
      <c r="Z97">
        <v>95</v>
      </c>
    </row>
    <row r="98" spans="26:26" x14ac:dyDescent="0.25">
      <c r="Z98">
        <v>96</v>
      </c>
    </row>
    <row r="99" spans="26:26" x14ac:dyDescent="0.25">
      <c r="Z99">
        <v>97</v>
      </c>
    </row>
    <row r="100" spans="26:26" x14ac:dyDescent="0.25">
      <c r="Z100">
        <v>98</v>
      </c>
    </row>
    <row r="101" spans="26:26" x14ac:dyDescent="0.25">
      <c r="Z101">
        <v>99</v>
      </c>
    </row>
    <row r="102" spans="26:26" x14ac:dyDescent="0.25">
      <c r="Z102">
        <v>100</v>
      </c>
    </row>
    <row r="103" spans="26:26" x14ac:dyDescent="0.25">
      <c r="Z103">
        <v>101</v>
      </c>
    </row>
    <row r="104" spans="26:26" x14ac:dyDescent="0.25">
      <c r="Z104">
        <v>102</v>
      </c>
    </row>
    <row r="105" spans="26:26" x14ac:dyDescent="0.25">
      <c r="Z105">
        <v>103</v>
      </c>
    </row>
    <row r="106" spans="26:26" x14ac:dyDescent="0.25">
      <c r="Z106">
        <v>104</v>
      </c>
    </row>
    <row r="107" spans="26:26" x14ac:dyDescent="0.25">
      <c r="Z107">
        <v>105</v>
      </c>
    </row>
    <row r="108" spans="26:26" x14ac:dyDescent="0.25">
      <c r="Z108">
        <v>106</v>
      </c>
    </row>
    <row r="109" spans="26:26" x14ac:dyDescent="0.25">
      <c r="Z109">
        <v>107</v>
      </c>
    </row>
    <row r="110" spans="26:26" x14ac:dyDescent="0.25">
      <c r="Z110">
        <v>108</v>
      </c>
    </row>
    <row r="111" spans="26:26" x14ac:dyDescent="0.25">
      <c r="Z111">
        <v>109</v>
      </c>
    </row>
    <row r="112" spans="26:26" x14ac:dyDescent="0.25">
      <c r="Z112">
        <v>110</v>
      </c>
    </row>
    <row r="113" spans="26:26" x14ac:dyDescent="0.25">
      <c r="Z113">
        <v>111</v>
      </c>
    </row>
    <row r="114" spans="26:26" x14ac:dyDescent="0.25">
      <c r="Z114">
        <v>112</v>
      </c>
    </row>
    <row r="115" spans="26:26" x14ac:dyDescent="0.25">
      <c r="Z115">
        <v>113</v>
      </c>
    </row>
    <row r="116" spans="26:26" x14ac:dyDescent="0.25">
      <c r="Z116">
        <v>114</v>
      </c>
    </row>
    <row r="117" spans="26:26" x14ac:dyDescent="0.25">
      <c r="Z117">
        <v>115</v>
      </c>
    </row>
    <row r="118" spans="26:26" x14ac:dyDescent="0.25">
      <c r="Z118">
        <v>116</v>
      </c>
    </row>
    <row r="119" spans="26:26" x14ac:dyDescent="0.25">
      <c r="Z119">
        <v>117</v>
      </c>
    </row>
    <row r="120" spans="26:26" x14ac:dyDescent="0.25">
      <c r="Z120">
        <v>118</v>
      </c>
    </row>
    <row r="121" spans="26:26" x14ac:dyDescent="0.25">
      <c r="Z121">
        <v>119</v>
      </c>
    </row>
    <row r="122" spans="26:26" x14ac:dyDescent="0.25">
      <c r="Z122">
        <v>120</v>
      </c>
    </row>
    <row r="123" spans="26:26" x14ac:dyDescent="0.25">
      <c r="Z123">
        <v>121</v>
      </c>
    </row>
    <row r="124" spans="26:26" x14ac:dyDescent="0.25">
      <c r="Z124">
        <v>122</v>
      </c>
    </row>
    <row r="125" spans="26:26" x14ac:dyDescent="0.25">
      <c r="Z125">
        <v>123</v>
      </c>
    </row>
    <row r="126" spans="26:26" x14ac:dyDescent="0.25">
      <c r="Z126">
        <v>124</v>
      </c>
    </row>
    <row r="127" spans="26:26" x14ac:dyDescent="0.25">
      <c r="Z127">
        <v>125</v>
      </c>
    </row>
    <row r="128" spans="26:26" x14ac:dyDescent="0.25">
      <c r="Z128">
        <v>126</v>
      </c>
    </row>
    <row r="129" spans="26:26" x14ac:dyDescent="0.25">
      <c r="Z129">
        <v>127</v>
      </c>
    </row>
    <row r="130" spans="26:26" x14ac:dyDescent="0.25">
      <c r="Z130">
        <v>128</v>
      </c>
    </row>
    <row r="131" spans="26:26" x14ac:dyDescent="0.25">
      <c r="Z131">
        <v>129</v>
      </c>
    </row>
    <row r="132" spans="26:26" x14ac:dyDescent="0.25">
      <c r="Z132">
        <v>130</v>
      </c>
    </row>
    <row r="133" spans="26:26" x14ac:dyDescent="0.25">
      <c r="Z133">
        <v>131</v>
      </c>
    </row>
    <row r="134" spans="26:26" x14ac:dyDescent="0.25">
      <c r="Z134">
        <v>132</v>
      </c>
    </row>
    <row r="135" spans="26:26" x14ac:dyDescent="0.25">
      <c r="Z135">
        <v>133</v>
      </c>
    </row>
    <row r="136" spans="26:26" x14ac:dyDescent="0.25">
      <c r="Z136">
        <v>134</v>
      </c>
    </row>
    <row r="137" spans="26:26" x14ac:dyDescent="0.25">
      <c r="Z137">
        <v>135</v>
      </c>
    </row>
    <row r="138" spans="26:26" x14ac:dyDescent="0.25">
      <c r="Z138">
        <v>136</v>
      </c>
    </row>
    <row r="139" spans="26:26" x14ac:dyDescent="0.25">
      <c r="Z139">
        <v>137</v>
      </c>
    </row>
    <row r="140" spans="26:26" x14ac:dyDescent="0.25">
      <c r="Z140">
        <v>138</v>
      </c>
    </row>
    <row r="141" spans="26:26" x14ac:dyDescent="0.25">
      <c r="Z141">
        <v>139</v>
      </c>
    </row>
    <row r="142" spans="26:26" x14ac:dyDescent="0.25">
      <c r="Z142">
        <v>140</v>
      </c>
    </row>
    <row r="143" spans="26:26" x14ac:dyDescent="0.25">
      <c r="Z143">
        <v>141</v>
      </c>
    </row>
    <row r="144" spans="26:26" x14ac:dyDescent="0.25">
      <c r="Z144">
        <v>142</v>
      </c>
    </row>
    <row r="145" spans="26:26" x14ac:dyDescent="0.25">
      <c r="Z145">
        <v>143</v>
      </c>
    </row>
    <row r="146" spans="26:26" x14ac:dyDescent="0.25">
      <c r="Z146">
        <v>144</v>
      </c>
    </row>
    <row r="147" spans="26:26" x14ac:dyDescent="0.25">
      <c r="Z147">
        <v>145</v>
      </c>
    </row>
    <row r="148" spans="26:26" x14ac:dyDescent="0.25">
      <c r="Z148">
        <v>146</v>
      </c>
    </row>
    <row r="149" spans="26:26" x14ac:dyDescent="0.25">
      <c r="Z149">
        <v>147</v>
      </c>
    </row>
    <row r="150" spans="26:26" x14ac:dyDescent="0.25">
      <c r="Z150">
        <v>148</v>
      </c>
    </row>
    <row r="151" spans="26:26" x14ac:dyDescent="0.25">
      <c r="Z151">
        <v>149</v>
      </c>
    </row>
    <row r="152" spans="26:26" x14ac:dyDescent="0.25">
      <c r="Z152">
        <v>150</v>
      </c>
    </row>
    <row r="153" spans="26:26" x14ac:dyDescent="0.25">
      <c r="Z153">
        <v>151</v>
      </c>
    </row>
    <row r="154" spans="26:26" x14ac:dyDescent="0.25">
      <c r="Z154">
        <v>152</v>
      </c>
    </row>
    <row r="155" spans="26:26" x14ac:dyDescent="0.25">
      <c r="Z155">
        <v>153</v>
      </c>
    </row>
    <row r="156" spans="26:26" x14ac:dyDescent="0.25">
      <c r="Z156">
        <v>154</v>
      </c>
    </row>
    <row r="157" spans="26:26" x14ac:dyDescent="0.25">
      <c r="Z157">
        <v>155</v>
      </c>
    </row>
    <row r="158" spans="26:26" x14ac:dyDescent="0.25">
      <c r="Z158">
        <v>156</v>
      </c>
    </row>
    <row r="159" spans="26:26" x14ac:dyDescent="0.25">
      <c r="Z159">
        <v>157</v>
      </c>
    </row>
    <row r="160" spans="26:26" x14ac:dyDescent="0.25">
      <c r="Z160">
        <v>158</v>
      </c>
    </row>
    <row r="161" spans="26:26" x14ac:dyDescent="0.25">
      <c r="Z161">
        <v>159</v>
      </c>
    </row>
    <row r="162" spans="26:26" x14ac:dyDescent="0.25">
      <c r="Z162">
        <v>160</v>
      </c>
    </row>
    <row r="163" spans="26:26" x14ac:dyDescent="0.25">
      <c r="Z163">
        <v>161</v>
      </c>
    </row>
    <row r="164" spans="26:26" x14ac:dyDescent="0.25">
      <c r="Z164">
        <v>162</v>
      </c>
    </row>
    <row r="165" spans="26:26" x14ac:dyDescent="0.25">
      <c r="Z165">
        <v>163</v>
      </c>
    </row>
    <row r="166" spans="26:26" x14ac:dyDescent="0.25">
      <c r="Z166">
        <v>164</v>
      </c>
    </row>
    <row r="167" spans="26:26" x14ac:dyDescent="0.25">
      <c r="Z167">
        <v>165</v>
      </c>
    </row>
    <row r="168" spans="26:26" x14ac:dyDescent="0.25">
      <c r="Z168">
        <v>166</v>
      </c>
    </row>
    <row r="169" spans="26:26" x14ac:dyDescent="0.25">
      <c r="Z169">
        <v>167</v>
      </c>
    </row>
    <row r="170" spans="26:26" x14ac:dyDescent="0.25">
      <c r="Z170">
        <v>168</v>
      </c>
    </row>
    <row r="171" spans="26:26" x14ac:dyDescent="0.25">
      <c r="Z171">
        <v>169</v>
      </c>
    </row>
    <row r="172" spans="26:26" x14ac:dyDescent="0.25">
      <c r="Z172">
        <v>170</v>
      </c>
    </row>
    <row r="173" spans="26:26" x14ac:dyDescent="0.25">
      <c r="Z173">
        <v>171</v>
      </c>
    </row>
    <row r="174" spans="26:26" x14ac:dyDescent="0.25">
      <c r="Z174">
        <v>172</v>
      </c>
    </row>
    <row r="175" spans="26:26" x14ac:dyDescent="0.25">
      <c r="Z175">
        <v>173</v>
      </c>
    </row>
    <row r="176" spans="26:26" x14ac:dyDescent="0.25">
      <c r="Z176">
        <v>174</v>
      </c>
    </row>
    <row r="177" spans="26:26" x14ac:dyDescent="0.25">
      <c r="Z177">
        <v>175</v>
      </c>
    </row>
    <row r="178" spans="26:26" x14ac:dyDescent="0.25">
      <c r="Z178">
        <v>176</v>
      </c>
    </row>
    <row r="179" spans="26:26" x14ac:dyDescent="0.25">
      <c r="Z179">
        <v>177</v>
      </c>
    </row>
    <row r="180" spans="26:26" x14ac:dyDescent="0.25">
      <c r="Z180">
        <v>178</v>
      </c>
    </row>
    <row r="181" spans="26:26" x14ac:dyDescent="0.25">
      <c r="Z181">
        <v>179</v>
      </c>
    </row>
    <row r="182" spans="26:26" x14ac:dyDescent="0.25">
      <c r="Z182">
        <v>180</v>
      </c>
    </row>
    <row r="183" spans="26:26" x14ac:dyDescent="0.25">
      <c r="Z183">
        <v>181</v>
      </c>
    </row>
    <row r="184" spans="26:26" x14ac:dyDescent="0.25">
      <c r="Z184">
        <v>182</v>
      </c>
    </row>
    <row r="185" spans="26:26" x14ac:dyDescent="0.25">
      <c r="Z185">
        <v>183</v>
      </c>
    </row>
    <row r="186" spans="26:26" x14ac:dyDescent="0.25">
      <c r="Z186">
        <v>184</v>
      </c>
    </row>
    <row r="187" spans="26:26" x14ac:dyDescent="0.25">
      <c r="Z187">
        <v>185</v>
      </c>
    </row>
    <row r="188" spans="26:26" x14ac:dyDescent="0.25">
      <c r="Z188">
        <v>186</v>
      </c>
    </row>
    <row r="189" spans="26:26" x14ac:dyDescent="0.25">
      <c r="Z189">
        <v>187</v>
      </c>
    </row>
    <row r="190" spans="26:26" x14ac:dyDescent="0.25">
      <c r="Z190">
        <v>188</v>
      </c>
    </row>
    <row r="191" spans="26:26" x14ac:dyDescent="0.25">
      <c r="Z191">
        <v>189</v>
      </c>
    </row>
    <row r="192" spans="26:26" x14ac:dyDescent="0.25">
      <c r="Z192">
        <v>190</v>
      </c>
    </row>
    <row r="193" spans="26:26" x14ac:dyDescent="0.25">
      <c r="Z193">
        <v>191</v>
      </c>
    </row>
    <row r="194" spans="26:26" x14ac:dyDescent="0.25">
      <c r="Z194">
        <v>192</v>
      </c>
    </row>
    <row r="195" spans="26:26" x14ac:dyDescent="0.25">
      <c r="Z195">
        <v>193</v>
      </c>
    </row>
    <row r="196" spans="26:26" x14ac:dyDescent="0.25">
      <c r="Z196">
        <v>194</v>
      </c>
    </row>
    <row r="197" spans="26:26" x14ac:dyDescent="0.25">
      <c r="Z197">
        <v>195</v>
      </c>
    </row>
    <row r="198" spans="26:26" x14ac:dyDescent="0.25">
      <c r="Z198">
        <v>196</v>
      </c>
    </row>
    <row r="199" spans="26:26" x14ac:dyDescent="0.25">
      <c r="Z199">
        <v>197</v>
      </c>
    </row>
    <row r="200" spans="26:26" x14ac:dyDescent="0.25">
      <c r="Z200">
        <v>198</v>
      </c>
    </row>
    <row r="201" spans="26:26" x14ac:dyDescent="0.25">
      <c r="Z201">
        <v>199</v>
      </c>
    </row>
    <row r="202" spans="26:26" x14ac:dyDescent="0.25">
      <c r="Z202">
        <v>200</v>
      </c>
    </row>
    <row r="203" spans="26:26" x14ac:dyDescent="0.25">
      <c r="Z203">
        <v>201</v>
      </c>
    </row>
    <row r="204" spans="26:26" x14ac:dyDescent="0.25">
      <c r="Z204">
        <v>202</v>
      </c>
    </row>
    <row r="205" spans="26:26" x14ac:dyDescent="0.25">
      <c r="Z205">
        <v>203</v>
      </c>
    </row>
    <row r="206" spans="26:26" x14ac:dyDescent="0.25">
      <c r="Z206">
        <v>204</v>
      </c>
    </row>
    <row r="207" spans="26:26" x14ac:dyDescent="0.25">
      <c r="Z207">
        <v>205</v>
      </c>
    </row>
    <row r="208" spans="26:26" x14ac:dyDescent="0.25">
      <c r="Z208">
        <v>206</v>
      </c>
    </row>
    <row r="209" spans="26:26" x14ac:dyDescent="0.25">
      <c r="Z209">
        <v>207</v>
      </c>
    </row>
    <row r="210" spans="26:26" x14ac:dyDescent="0.25">
      <c r="Z210">
        <v>208</v>
      </c>
    </row>
    <row r="211" spans="26:26" x14ac:dyDescent="0.25">
      <c r="Z211">
        <v>209</v>
      </c>
    </row>
    <row r="212" spans="26:26" x14ac:dyDescent="0.25">
      <c r="Z212">
        <v>210</v>
      </c>
    </row>
    <row r="213" spans="26:26" x14ac:dyDescent="0.25">
      <c r="Z213">
        <v>211</v>
      </c>
    </row>
    <row r="214" spans="26:26" x14ac:dyDescent="0.25">
      <c r="Z214">
        <v>212</v>
      </c>
    </row>
    <row r="215" spans="26:26" x14ac:dyDescent="0.25">
      <c r="Z215">
        <v>213</v>
      </c>
    </row>
    <row r="216" spans="26:26" x14ac:dyDescent="0.25">
      <c r="Z216">
        <v>214</v>
      </c>
    </row>
    <row r="217" spans="26:26" x14ac:dyDescent="0.25">
      <c r="Z217">
        <v>215</v>
      </c>
    </row>
    <row r="218" spans="26:26" x14ac:dyDescent="0.25">
      <c r="Z218">
        <v>216</v>
      </c>
    </row>
    <row r="219" spans="26:26" x14ac:dyDescent="0.25">
      <c r="Z219">
        <v>217</v>
      </c>
    </row>
    <row r="220" spans="26:26" x14ac:dyDescent="0.25">
      <c r="Z220">
        <v>218</v>
      </c>
    </row>
    <row r="221" spans="26:26" x14ac:dyDescent="0.25">
      <c r="Z221">
        <v>219</v>
      </c>
    </row>
    <row r="222" spans="26:26" x14ac:dyDescent="0.25">
      <c r="Z222">
        <v>220</v>
      </c>
    </row>
    <row r="223" spans="26:26" x14ac:dyDescent="0.25">
      <c r="Z223">
        <v>221</v>
      </c>
    </row>
    <row r="224" spans="26:26" x14ac:dyDescent="0.25">
      <c r="Z224">
        <v>222</v>
      </c>
    </row>
    <row r="225" spans="26:26" x14ac:dyDescent="0.25">
      <c r="Z225">
        <v>223</v>
      </c>
    </row>
    <row r="226" spans="26:26" x14ac:dyDescent="0.25">
      <c r="Z226">
        <v>224</v>
      </c>
    </row>
    <row r="227" spans="26:26" x14ac:dyDescent="0.25">
      <c r="Z227">
        <v>225</v>
      </c>
    </row>
    <row r="228" spans="26:26" x14ac:dyDescent="0.25">
      <c r="Z228">
        <v>226</v>
      </c>
    </row>
    <row r="229" spans="26:26" x14ac:dyDescent="0.25">
      <c r="Z229">
        <v>227</v>
      </c>
    </row>
    <row r="230" spans="26:26" x14ac:dyDescent="0.25">
      <c r="Z230">
        <v>228</v>
      </c>
    </row>
    <row r="231" spans="26:26" x14ac:dyDescent="0.25">
      <c r="Z231">
        <v>229</v>
      </c>
    </row>
    <row r="232" spans="26:26" x14ac:dyDescent="0.25">
      <c r="Z232">
        <v>230</v>
      </c>
    </row>
    <row r="233" spans="26:26" x14ac:dyDescent="0.25">
      <c r="Z233">
        <v>231</v>
      </c>
    </row>
    <row r="234" spans="26:26" x14ac:dyDescent="0.25">
      <c r="Z234">
        <v>232</v>
      </c>
    </row>
    <row r="235" spans="26:26" x14ac:dyDescent="0.25">
      <c r="Z235">
        <v>233</v>
      </c>
    </row>
    <row r="236" spans="26:26" x14ac:dyDescent="0.25">
      <c r="Z236">
        <v>234</v>
      </c>
    </row>
    <row r="237" spans="26:26" x14ac:dyDescent="0.25">
      <c r="Z237">
        <v>235</v>
      </c>
    </row>
    <row r="238" spans="26:26" x14ac:dyDescent="0.25">
      <c r="Z238">
        <v>236</v>
      </c>
    </row>
    <row r="239" spans="26:26" x14ac:dyDescent="0.25">
      <c r="Z239">
        <v>237</v>
      </c>
    </row>
    <row r="240" spans="26:26" x14ac:dyDescent="0.25">
      <c r="Z240">
        <v>238</v>
      </c>
    </row>
    <row r="241" spans="26:26" x14ac:dyDescent="0.25">
      <c r="Z241">
        <v>239</v>
      </c>
    </row>
    <row r="242" spans="26:26" x14ac:dyDescent="0.25">
      <c r="Z242">
        <v>240</v>
      </c>
    </row>
    <row r="243" spans="26:26" x14ac:dyDescent="0.25">
      <c r="Z243">
        <v>241</v>
      </c>
    </row>
    <row r="244" spans="26:26" x14ac:dyDescent="0.25">
      <c r="Z244">
        <v>242</v>
      </c>
    </row>
    <row r="245" spans="26:26" x14ac:dyDescent="0.25">
      <c r="Z245">
        <v>243</v>
      </c>
    </row>
    <row r="246" spans="26:26" x14ac:dyDescent="0.25">
      <c r="Z246">
        <v>244</v>
      </c>
    </row>
    <row r="247" spans="26:26" x14ac:dyDescent="0.25">
      <c r="Z247">
        <v>245</v>
      </c>
    </row>
    <row r="248" spans="26:26" x14ac:dyDescent="0.25">
      <c r="Z248">
        <v>246</v>
      </c>
    </row>
    <row r="249" spans="26:26" x14ac:dyDescent="0.25">
      <c r="Z249">
        <v>247</v>
      </c>
    </row>
    <row r="250" spans="26:26" x14ac:dyDescent="0.25">
      <c r="Z250">
        <v>248</v>
      </c>
    </row>
    <row r="251" spans="26:26" x14ac:dyDescent="0.25">
      <c r="Z251">
        <v>249</v>
      </c>
    </row>
    <row r="252" spans="26:26" x14ac:dyDescent="0.25">
      <c r="Z252">
        <v>250</v>
      </c>
    </row>
    <row r="253" spans="26:26" x14ac:dyDescent="0.25">
      <c r="Z253">
        <v>251</v>
      </c>
    </row>
    <row r="254" spans="26:26" x14ac:dyDescent="0.25">
      <c r="Z254">
        <v>252</v>
      </c>
    </row>
    <row r="255" spans="26:26" x14ac:dyDescent="0.25">
      <c r="Z255">
        <v>253</v>
      </c>
    </row>
    <row r="256" spans="26:26" x14ac:dyDescent="0.25">
      <c r="Z256">
        <v>254</v>
      </c>
    </row>
    <row r="257" spans="26:26" x14ac:dyDescent="0.25">
      <c r="Z257">
        <v>255</v>
      </c>
    </row>
    <row r="258" spans="26:26" x14ac:dyDescent="0.25">
      <c r="Z258">
        <v>256</v>
      </c>
    </row>
    <row r="259" spans="26:26" x14ac:dyDescent="0.25">
      <c r="Z259">
        <v>257</v>
      </c>
    </row>
    <row r="260" spans="26:26" x14ac:dyDescent="0.25">
      <c r="Z260">
        <v>258</v>
      </c>
    </row>
    <row r="261" spans="26:26" x14ac:dyDescent="0.25">
      <c r="Z261">
        <v>259</v>
      </c>
    </row>
    <row r="262" spans="26:26" x14ac:dyDescent="0.25">
      <c r="Z262">
        <v>260</v>
      </c>
    </row>
    <row r="263" spans="26:26" x14ac:dyDescent="0.25">
      <c r="Z263">
        <v>261</v>
      </c>
    </row>
    <row r="264" spans="26:26" x14ac:dyDescent="0.25">
      <c r="Z264">
        <v>262</v>
      </c>
    </row>
    <row r="265" spans="26:26" x14ac:dyDescent="0.25">
      <c r="Z265">
        <v>263</v>
      </c>
    </row>
    <row r="266" spans="26:26" x14ac:dyDescent="0.25">
      <c r="Z266">
        <v>264</v>
      </c>
    </row>
    <row r="267" spans="26:26" x14ac:dyDescent="0.25">
      <c r="Z267">
        <v>265</v>
      </c>
    </row>
    <row r="268" spans="26:26" x14ac:dyDescent="0.25">
      <c r="Z268">
        <v>266</v>
      </c>
    </row>
    <row r="269" spans="26:26" x14ac:dyDescent="0.25">
      <c r="Z269">
        <v>267</v>
      </c>
    </row>
    <row r="270" spans="26:26" x14ac:dyDescent="0.25">
      <c r="Z270">
        <v>268</v>
      </c>
    </row>
    <row r="271" spans="26:26" x14ac:dyDescent="0.25">
      <c r="Z271">
        <v>269</v>
      </c>
    </row>
    <row r="272" spans="26:26" x14ac:dyDescent="0.25">
      <c r="Z272">
        <v>270</v>
      </c>
    </row>
    <row r="273" spans="26:26" x14ac:dyDescent="0.25">
      <c r="Z273">
        <v>271</v>
      </c>
    </row>
    <row r="274" spans="26:26" x14ac:dyDescent="0.25">
      <c r="Z274">
        <v>272</v>
      </c>
    </row>
    <row r="275" spans="26:26" x14ac:dyDescent="0.25">
      <c r="Z275">
        <v>273</v>
      </c>
    </row>
    <row r="276" spans="26:26" x14ac:dyDescent="0.25">
      <c r="Z276">
        <v>274</v>
      </c>
    </row>
    <row r="277" spans="26:26" x14ac:dyDescent="0.25">
      <c r="Z277">
        <v>275</v>
      </c>
    </row>
    <row r="278" spans="26:26" x14ac:dyDescent="0.25">
      <c r="Z278">
        <v>276</v>
      </c>
    </row>
    <row r="279" spans="26:26" x14ac:dyDescent="0.25">
      <c r="Z279">
        <v>277</v>
      </c>
    </row>
    <row r="280" spans="26:26" x14ac:dyDescent="0.25">
      <c r="Z280">
        <v>278</v>
      </c>
    </row>
    <row r="281" spans="26:26" x14ac:dyDescent="0.25">
      <c r="Z281">
        <v>279</v>
      </c>
    </row>
    <row r="282" spans="26:26" x14ac:dyDescent="0.25">
      <c r="Z282">
        <v>280</v>
      </c>
    </row>
    <row r="283" spans="26:26" x14ac:dyDescent="0.25">
      <c r="Z283">
        <v>281</v>
      </c>
    </row>
    <row r="284" spans="26:26" x14ac:dyDescent="0.25">
      <c r="Z284">
        <v>282</v>
      </c>
    </row>
    <row r="285" spans="26:26" x14ac:dyDescent="0.25">
      <c r="Z285">
        <v>283</v>
      </c>
    </row>
    <row r="286" spans="26:26" x14ac:dyDescent="0.25">
      <c r="Z286">
        <v>284</v>
      </c>
    </row>
    <row r="287" spans="26:26" x14ac:dyDescent="0.25">
      <c r="Z287">
        <v>285</v>
      </c>
    </row>
    <row r="288" spans="26:26" x14ac:dyDescent="0.25">
      <c r="Z288">
        <v>286</v>
      </c>
    </row>
    <row r="289" spans="26:26" x14ac:dyDescent="0.25">
      <c r="Z289">
        <v>287</v>
      </c>
    </row>
    <row r="290" spans="26:26" x14ac:dyDescent="0.25">
      <c r="Z290">
        <v>288</v>
      </c>
    </row>
    <row r="291" spans="26:26" x14ac:dyDescent="0.25">
      <c r="Z291">
        <v>289</v>
      </c>
    </row>
    <row r="292" spans="26:26" x14ac:dyDescent="0.25">
      <c r="Z292">
        <v>290</v>
      </c>
    </row>
    <row r="293" spans="26:26" x14ac:dyDescent="0.25">
      <c r="Z293">
        <v>291</v>
      </c>
    </row>
    <row r="294" spans="26:26" x14ac:dyDescent="0.25">
      <c r="Z294">
        <v>292</v>
      </c>
    </row>
    <row r="295" spans="26:26" x14ac:dyDescent="0.25">
      <c r="Z295">
        <v>293</v>
      </c>
    </row>
    <row r="296" spans="26:26" x14ac:dyDescent="0.25">
      <c r="Z296">
        <v>294</v>
      </c>
    </row>
    <row r="297" spans="26:26" x14ac:dyDescent="0.25">
      <c r="Z297">
        <v>295</v>
      </c>
    </row>
    <row r="298" spans="26:26" x14ac:dyDescent="0.25">
      <c r="Z298">
        <v>296</v>
      </c>
    </row>
    <row r="299" spans="26:26" x14ac:dyDescent="0.25">
      <c r="Z299">
        <v>297</v>
      </c>
    </row>
    <row r="300" spans="26:26" x14ac:dyDescent="0.25">
      <c r="Z300">
        <v>298</v>
      </c>
    </row>
    <row r="301" spans="26:26" x14ac:dyDescent="0.25">
      <c r="Z301">
        <v>299</v>
      </c>
    </row>
    <row r="302" spans="26:26" x14ac:dyDescent="0.25">
      <c r="Z302">
        <v>300</v>
      </c>
    </row>
    <row r="303" spans="26:26" x14ac:dyDescent="0.25">
      <c r="Z303">
        <v>301</v>
      </c>
    </row>
    <row r="304" spans="26:26" x14ac:dyDescent="0.25">
      <c r="Z304">
        <v>302</v>
      </c>
    </row>
    <row r="305" spans="26:26" x14ac:dyDescent="0.25">
      <c r="Z305">
        <v>303</v>
      </c>
    </row>
    <row r="306" spans="26:26" x14ac:dyDescent="0.25">
      <c r="Z306">
        <v>304</v>
      </c>
    </row>
    <row r="307" spans="26:26" x14ac:dyDescent="0.25">
      <c r="Z307">
        <v>305</v>
      </c>
    </row>
    <row r="308" spans="26:26" x14ac:dyDescent="0.25">
      <c r="Z308">
        <v>306</v>
      </c>
    </row>
    <row r="309" spans="26:26" x14ac:dyDescent="0.25">
      <c r="Z309">
        <v>307</v>
      </c>
    </row>
    <row r="310" spans="26:26" x14ac:dyDescent="0.25">
      <c r="Z310">
        <v>308</v>
      </c>
    </row>
    <row r="311" spans="26:26" x14ac:dyDescent="0.25">
      <c r="Z311">
        <v>309</v>
      </c>
    </row>
    <row r="312" spans="26:26" x14ac:dyDescent="0.25">
      <c r="Z312">
        <v>310</v>
      </c>
    </row>
    <row r="313" spans="26:26" x14ac:dyDescent="0.25">
      <c r="Z313">
        <v>311</v>
      </c>
    </row>
    <row r="314" spans="26:26" x14ac:dyDescent="0.25">
      <c r="Z314">
        <v>312</v>
      </c>
    </row>
    <row r="315" spans="26:26" x14ac:dyDescent="0.25">
      <c r="Z315">
        <v>313</v>
      </c>
    </row>
    <row r="316" spans="26:26" x14ac:dyDescent="0.25">
      <c r="Z316">
        <v>314</v>
      </c>
    </row>
    <row r="317" spans="26:26" x14ac:dyDescent="0.25">
      <c r="Z317">
        <v>315</v>
      </c>
    </row>
    <row r="318" spans="26:26" x14ac:dyDescent="0.25">
      <c r="Z318">
        <v>316</v>
      </c>
    </row>
    <row r="319" spans="26:26" x14ac:dyDescent="0.25">
      <c r="Z319">
        <v>317</v>
      </c>
    </row>
    <row r="320" spans="26:26" x14ac:dyDescent="0.25">
      <c r="Z320">
        <v>318</v>
      </c>
    </row>
    <row r="321" spans="26:26" x14ac:dyDescent="0.25">
      <c r="Z321">
        <v>319</v>
      </c>
    </row>
    <row r="322" spans="26:26" x14ac:dyDescent="0.25">
      <c r="Z322">
        <v>320</v>
      </c>
    </row>
    <row r="323" spans="26:26" x14ac:dyDescent="0.25">
      <c r="Z323">
        <v>321</v>
      </c>
    </row>
    <row r="324" spans="26:26" x14ac:dyDescent="0.25">
      <c r="Z324">
        <v>322</v>
      </c>
    </row>
    <row r="325" spans="26:26" x14ac:dyDescent="0.25">
      <c r="Z325">
        <v>323</v>
      </c>
    </row>
    <row r="326" spans="26:26" x14ac:dyDescent="0.25">
      <c r="Z326">
        <v>324</v>
      </c>
    </row>
    <row r="327" spans="26:26" x14ac:dyDescent="0.25">
      <c r="Z327">
        <v>325</v>
      </c>
    </row>
    <row r="328" spans="26:26" x14ac:dyDescent="0.25">
      <c r="Z328">
        <v>326</v>
      </c>
    </row>
    <row r="329" spans="26:26" x14ac:dyDescent="0.25">
      <c r="Z329">
        <v>327</v>
      </c>
    </row>
    <row r="330" spans="26:26" x14ac:dyDescent="0.25">
      <c r="Z330">
        <v>328</v>
      </c>
    </row>
    <row r="331" spans="26:26" x14ac:dyDescent="0.25">
      <c r="Z331">
        <v>329</v>
      </c>
    </row>
    <row r="332" spans="26:26" x14ac:dyDescent="0.25">
      <c r="Z332">
        <v>330</v>
      </c>
    </row>
    <row r="333" spans="26:26" x14ac:dyDescent="0.25">
      <c r="Z333">
        <v>331</v>
      </c>
    </row>
    <row r="334" spans="26:26" x14ac:dyDescent="0.25">
      <c r="Z334">
        <v>332</v>
      </c>
    </row>
    <row r="335" spans="26:26" x14ac:dyDescent="0.25">
      <c r="Z335">
        <v>333</v>
      </c>
    </row>
    <row r="336" spans="26:26" x14ac:dyDescent="0.25">
      <c r="Z336">
        <v>334</v>
      </c>
    </row>
    <row r="337" spans="26:26" x14ac:dyDescent="0.25">
      <c r="Z337">
        <v>335</v>
      </c>
    </row>
    <row r="338" spans="26:26" x14ac:dyDescent="0.25">
      <c r="Z338">
        <v>336</v>
      </c>
    </row>
    <row r="339" spans="26:26" x14ac:dyDescent="0.25">
      <c r="Z339">
        <v>337</v>
      </c>
    </row>
    <row r="340" spans="26:26" x14ac:dyDescent="0.25">
      <c r="Z340">
        <v>338</v>
      </c>
    </row>
    <row r="341" spans="26:26" x14ac:dyDescent="0.25">
      <c r="Z341">
        <v>339</v>
      </c>
    </row>
    <row r="342" spans="26:26" x14ac:dyDescent="0.25">
      <c r="Z342">
        <v>340</v>
      </c>
    </row>
    <row r="343" spans="26:26" x14ac:dyDescent="0.25">
      <c r="Z343">
        <v>341</v>
      </c>
    </row>
    <row r="344" spans="26:26" x14ac:dyDescent="0.25">
      <c r="Z344">
        <v>342</v>
      </c>
    </row>
    <row r="345" spans="26:26" x14ac:dyDescent="0.25">
      <c r="Z345">
        <v>343</v>
      </c>
    </row>
    <row r="346" spans="26:26" x14ac:dyDescent="0.25">
      <c r="Z346">
        <v>344</v>
      </c>
    </row>
    <row r="347" spans="26:26" x14ac:dyDescent="0.25">
      <c r="Z347">
        <v>345</v>
      </c>
    </row>
    <row r="348" spans="26:26" x14ac:dyDescent="0.25">
      <c r="Z348">
        <v>346</v>
      </c>
    </row>
    <row r="349" spans="26:26" x14ac:dyDescent="0.25">
      <c r="Z349">
        <v>347</v>
      </c>
    </row>
    <row r="350" spans="26:26" x14ac:dyDescent="0.25">
      <c r="Z350">
        <v>348</v>
      </c>
    </row>
    <row r="351" spans="26:26" x14ac:dyDescent="0.25">
      <c r="Z351">
        <v>349</v>
      </c>
    </row>
    <row r="352" spans="26:26" x14ac:dyDescent="0.25">
      <c r="Z352">
        <v>350</v>
      </c>
    </row>
    <row r="353" spans="26:26" x14ac:dyDescent="0.25">
      <c r="Z353">
        <v>351</v>
      </c>
    </row>
    <row r="354" spans="26:26" x14ac:dyDescent="0.25">
      <c r="Z354">
        <v>352</v>
      </c>
    </row>
    <row r="355" spans="26:26" x14ac:dyDescent="0.25">
      <c r="Z355">
        <v>353</v>
      </c>
    </row>
    <row r="356" spans="26:26" x14ac:dyDescent="0.25">
      <c r="Z356">
        <v>354</v>
      </c>
    </row>
    <row r="357" spans="26:26" x14ac:dyDescent="0.25">
      <c r="Z357">
        <v>355</v>
      </c>
    </row>
    <row r="358" spans="26:26" x14ac:dyDescent="0.25">
      <c r="Z358">
        <v>356</v>
      </c>
    </row>
    <row r="359" spans="26:26" x14ac:dyDescent="0.25">
      <c r="Z359">
        <v>357</v>
      </c>
    </row>
    <row r="360" spans="26:26" x14ac:dyDescent="0.25">
      <c r="Z360">
        <v>358</v>
      </c>
    </row>
    <row r="361" spans="26:26" x14ac:dyDescent="0.25">
      <c r="Z361">
        <v>359</v>
      </c>
    </row>
    <row r="362" spans="26:26" x14ac:dyDescent="0.25">
      <c r="Z362">
        <v>360</v>
      </c>
    </row>
    <row r="363" spans="26:26" x14ac:dyDescent="0.25">
      <c r="Z363">
        <v>361</v>
      </c>
    </row>
    <row r="364" spans="26:26" x14ac:dyDescent="0.25">
      <c r="Z364">
        <v>362</v>
      </c>
    </row>
    <row r="365" spans="26:26" x14ac:dyDescent="0.25">
      <c r="Z365">
        <v>363</v>
      </c>
    </row>
    <row r="366" spans="26:26" x14ac:dyDescent="0.25">
      <c r="Z366">
        <v>364</v>
      </c>
    </row>
    <row r="367" spans="26:26" x14ac:dyDescent="0.25">
      <c r="Z367">
        <v>365</v>
      </c>
    </row>
    <row r="368" spans="26:26" x14ac:dyDescent="0.25">
      <c r="Z368">
        <v>366</v>
      </c>
    </row>
    <row r="369" spans="26:26" x14ac:dyDescent="0.25">
      <c r="Z369">
        <v>367</v>
      </c>
    </row>
    <row r="370" spans="26:26" x14ac:dyDescent="0.25">
      <c r="Z370">
        <v>368</v>
      </c>
    </row>
    <row r="371" spans="26:26" x14ac:dyDescent="0.25">
      <c r="Z371">
        <v>369</v>
      </c>
    </row>
    <row r="372" spans="26:26" x14ac:dyDescent="0.25">
      <c r="Z372">
        <v>370</v>
      </c>
    </row>
    <row r="373" spans="26:26" x14ac:dyDescent="0.25">
      <c r="Z373">
        <v>371</v>
      </c>
    </row>
    <row r="374" spans="26:26" x14ac:dyDescent="0.25">
      <c r="Z374">
        <v>372</v>
      </c>
    </row>
    <row r="375" spans="26:26" x14ac:dyDescent="0.25">
      <c r="Z375">
        <v>373</v>
      </c>
    </row>
    <row r="376" spans="26:26" x14ac:dyDescent="0.25">
      <c r="Z376">
        <v>374</v>
      </c>
    </row>
    <row r="377" spans="26:26" x14ac:dyDescent="0.25">
      <c r="Z377">
        <v>375</v>
      </c>
    </row>
    <row r="378" spans="26:26" x14ac:dyDescent="0.25">
      <c r="Z378">
        <v>376</v>
      </c>
    </row>
    <row r="379" spans="26:26" x14ac:dyDescent="0.25">
      <c r="Z379">
        <v>377</v>
      </c>
    </row>
    <row r="380" spans="26:26" x14ac:dyDescent="0.25">
      <c r="Z380">
        <v>378</v>
      </c>
    </row>
    <row r="381" spans="26:26" x14ac:dyDescent="0.25">
      <c r="Z381">
        <v>379</v>
      </c>
    </row>
    <row r="382" spans="26:26" x14ac:dyDescent="0.25">
      <c r="Z382">
        <v>380</v>
      </c>
    </row>
    <row r="383" spans="26:26" x14ac:dyDescent="0.25">
      <c r="Z383">
        <v>381</v>
      </c>
    </row>
    <row r="384" spans="26:26" x14ac:dyDescent="0.25">
      <c r="Z384">
        <v>382</v>
      </c>
    </row>
    <row r="385" spans="26:26" x14ac:dyDescent="0.25">
      <c r="Z385">
        <v>383</v>
      </c>
    </row>
    <row r="386" spans="26:26" x14ac:dyDescent="0.25">
      <c r="Z386">
        <v>384</v>
      </c>
    </row>
    <row r="387" spans="26:26" x14ac:dyDescent="0.25">
      <c r="Z387">
        <v>385</v>
      </c>
    </row>
    <row r="388" spans="26:26" x14ac:dyDescent="0.25">
      <c r="Z388">
        <v>386</v>
      </c>
    </row>
    <row r="389" spans="26:26" x14ac:dyDescent="0.25">
      <c r="Z389">
        <v>387</v>
      </c>
    </row>
    <row r="390" spans="26:26" x14ac:dyDescent="0.25">
      <c r="Z390">
        <v>388</v>
      </c>
    </row>
    <row r="391" spans="26:26" x14ac:dyDescent="0.25">
      <c r="Z391">
        <v>389</v>
      </c>
    </row>
    <row r="392" spans="26:26" x14ac:dyDescent="0.25">
      <c r="Z392">
        <v>390</v>
      </c>
    </row>
    <row r="393" spans="26:26" x14ac:dyDescent="0.25">
      <c r="Z393">
        <v>391</v>
      </c>
    </row>
    <row r="394" spans="26:26" x14ac:dyDescent="0.25">
      <c r="Z394">
        <v>392</v>
      </c>
    </row>
    <row r="395" spans="26:26" x14ac:dyDescent="0.25">
      <c r="Z395">
        <v>393</v>
      </c>
    </row>
    <row r="396" spans="26:26" x14ac:dyDescent="0.25">
      <c r="Z396">
        <v>394</v>
      </c>
    </row>
    <row r="397" spans="26:26" x14ac:dyDescent="0.25">
      <c r="Z397">
        <v>395</v>
      </c>
    </row>
    <row r="398" spans="26:26" x14ac:dyDescent="0.25">
      <c r="Z398">
        <v>396</v>
      </c>
    </row>
    <row r="399" spans="26:26" x14ac:dyDescent="0.25">
      <c r="Z399">
        <v>397</v>
      </c>
    </row>
    <row r="400" spans="26:26" x14ac:dyDescent="0.25">
      <c r="Z400">
        <v>398</v>
      </c>
    </row>
    <row r="401" spans="26:26" x14ac:dyDescent="0.25">
      <c r="Z401">
        <v>399</v>
      </c>
    </row>
    <row r="402" spans="26:26" x14ac:dyDescent="0.25">
      <c r="Z402">
        <v>400</v>
      </c>
    </row>
    <row r="403" spans="26:26" x14ac:dyDescent="0.25">
      <c r="Z403">
        <v>401</v>
      </c>
    </row>
    <row r="404" spans="26:26" x14ac:dyDescent="0.25">
      <c r="Z404">
        <v>402</v>
      </c>
    </row>
    <row r="405" spans="26:26" x14ac:dyDescent="0.25">
      <c r="Z405">
        <v>403</v>
      </c>
    </row>
    <row r="406" spans="26:26" x14ac:dyDescent="0.25">
      <c r="Z406">
        <v>404</v>
      </c>
    </row>
    <row r="407" spans="26:26" x14ac:dyDescent="0.25">
      <c r="Z407">
        <v>405</v>
      </c>
    </row>
    <row r="408" spans="26:26" x14ac:dyDescent="0.25">
      <c r="Z408">
        <v>406</v>
      </c>
    </row>
    <row r="409" spans="26:26" x14ac:dyDescent="0.25">
      <c r="Z409">
        <v>407</v>
      </c>
    </row>
    <row r="410" spans="26:26" x14ac:dyDescent="0.25">
      <c r="Z410">
        <v>408</v>
      </c>
    </row>
    <row r="411" spans="26:26" x14ac:dyDescent="0.25">
      <c r="Z411">
        <v>409</v>
      </c>
    </row>
    <row r="412" spans="26:26" x14ac:dyDescent="0.25">
      <c r="Z412">
        <v>410</v>
      </c>
    </row>
    <row r="413" spans="26:26" x14ac:dyDescent="0.25">
      <c r="Z413">
        <v>411</v>
      </c>
    </row>
    <row r="414" spans="26:26" x14ac:dyDescent="0.25">
      <c r="Z414">
        <v>412</v>
      </c>
    </row>
    <row r="415" spans="26:26" x14ac:dyDescent="0.25">
      <c r="Z415">
        <v>413</v>
      </c>
    </row>
    <row r="416" spans="26:26" x14ac:dyDescent="0.25">
      <c r="Z416">
        <v>414</v>
      </c>
    </row>
    <row r="417" spans="26:26" x14ac:dyDescent="0.25">
      <c r="Z417">
        <v>415</v>
      </c>
    </row>
    <row r="418" spans="26:26" x14ac:dyDescent="0.25">
      <c r="Z418">
        <v>416</v>
      </c>
    </row>
    <row r="419" spans="26:26" x14ac:dyDescent="0.25">
      <c r="Z419">
        <v>417</v>
      </c>
    </row>
    <row r="420" spans="26:26" x14ac:dyDescent="0.25">
      <c r="Z420">
        <v>418</v>
      </c>
    </row>
    <row r="421" spans="26:26" x14ac:dyDescent="0.25">
      <c r="Z421">
        <v>419</v>
      </c>
    </row>
    <row r="422" spans="26:26" x14ac:dyDescent="0.25">
      <c r="Z422">
        <v>420</v>
      </c>
    </row>
    <row r="423" spans="26:26" x14ac:dyDescent="0.25">
      <c r="Z423">
        <v>421</v>
      </c>
    </row>
    <row r="424" spans="26:26" x14ac:dyDescent="0.25">
      <c r="Z424">
        <v>422</v>
      </c>
    </row>
    <row r="425" spans="26:26" x14ac:dyDescent="0.25">
      <c r="Z425">
        <v>423</v>
      </c>
    </row>
    <row r="426" spans="26:26" x14ac:dyDescent="0.25">
      <c r="Z426">
        <v>424</v>
      </c>
    </row>
    <row r="427" spans="26:26" x14ac:dyDescent="0.25">
      <c r="Z427">
        <v>425</v>
      </c>
    </row>
    <row r="428" spans="26:26" x14ac:dyDescent="0.25">
      <c r="Z428">
        <v>426</v>
      </c>
    </row>
    <row r="429" spans="26:26" x14ac:dyDescent="0.25">
      <c r="Z429">
        <v>427</v>
      </c>
    </row>
    <row r="430" spans="26:26" x14ac:dyDescent="0.25">
      <c r="Z430">
        <v>428</v>
      </c>
    </row>
    <row r="431" spans="26:26" x14ac:dyDescent="0.25">
      <c r="Z431">
        <v>429</v>
      </c>
    </row>
    <row r="432" spans="26:26" x14ac:dyDescent="0.25">
      <c r="Z432">
        <v>430</v>
      </c>
    </row>
    <row r="433" spans="26:26" x14ac:dyDescent="0.25">
      <c r="Z433">
        <v>431</v>
      </c>
    </row>
    <row r="434" spans="26:26" x14ac:dyDescent="0.25">
      <c r="Z434">
        <v>432</v>
      </c>
    </row>
    <row r="435" spans="26:26" x14ac:dyDescent="0.25">
      <c r="Z435">
        <v>433</v>
      </c>
    </row>
    <row r="436" spans="26:26" x14ac:dyDescent="0.25">
      <c r="Z436">
        <v>434</v>
      </c>
    </row>
    <row r="437" spans="26:26" x14ac:dyDescent="0.25">
      <c r="Z437">
        <v>435</v>
      </c>
    </row>
    <row r="438" spans="26:26" x14ac:dyDescent="0.25">
      <c r="Z438">
        <v>436</v>
      </c>
    </row>
    <row r="439" spans="26:26" x14ac:dyDescent="0.25">
      <c r="Z439">
        <v>437</v>
      </c>
    </row>
    <row r="440" spans="26:26" x14ac:dyDescent="0.25">
      <c r="Z440">
        <v>438</v>
      </c>
    </row>
    <row r="441" spans="26:26" x14ac:dyDescent="0.25">
      <c r="Z441">
        <v>439</v>
      </c>
    </row>
    <row r="442" spans="26:26" x14ac:dyDescent="0.25">
      <c r="Z442">
        <v>440</v>
      </c>
    </row>
    <row r="443" spans="26:26" x14ac:dyDescent="0.25">
      <c r="Z443">
        <v>441</v>
      </c>
    </row>
    <row r="444" spans="26:26" x14ac:dyDescent="0.25">
      <c r="Z444">
        <v>442</v>
      </c>
    </row>
    <row r="445" spans="26:26" x14ac:dyDescent="0.25">
      <c r="Z445">
        <v>443</v>
      </c>
    </row>
    <row r="446" spans="26:26" x14ac:dyDescent="0.25">
      <c r="Z446">
        <v>444</v>
      </c>
    </row>
    <row r="447" spans="26:26" x14ac:dyDescent="0.25">
      <c r="Z447">
        <v>445</v>
      </c>
    </row>
    <row r="448" spans="26:26" x14ac:dyDescent="0.25">
      <c r="Z448">
        <v>446</v>
      </c>
    </row>
    <row r="449" spans="26:26" x14ac:dyDescent="0.25">
      <c r="Z449">
        <v>447</v>
      </c>
    </row>
    <row r="450" spans="26:26" x14ac:dyDescent="0.25">
      <c r="Z450">
        <v>448</v>
      </c>
    </row>
    <row r="451" spans="26:26" x14ac:dyDescent="0.25">
      <c r="Z451">
        <v>449</v>
      </c>
    </row>
    <row r="452" spans="26:26" x14ac:dyDescent="0.25">
      <c r="Z452">
        <v>450</v>
      </c>
    </row>
    <row r="453" spans="26:26" x14ac:dyDescent="0.25">
      <c r="Z453">
        <v>451</v>
      </c>
    </row>
    <row r="454" spans="26:26" x14ac:dyDescent="0.25">
      <c r="Z454">
        <v>452</v>
      </c>
    </row>
    <row r="455" spans="26:26" x14ac:dyDescent="0.25">
      <c r="Z455">
        <v>453</v>
      </c>
    </row>
    <row r="456" spans="26:26" x14ac:dyDescent="0.25">
      <c r="Z456">
        <v>454</v>
      </c>
    </row>
    <row r="457" spans="26:26" x14ac:dyDescent="0.25">
      <c r="Z457">
        <v>455</v>
      </c>
    </row>
    <row r="458" spans="26:26" x14ac:dyDescent="0.25">
      <c r="Z458">
        <v>456</v>
      </c>
    </row>
    <row r="459" spans="26:26" x14ac:dyDescent="0.25">
      <c r="Z459">
        <v>457</v>
      </c>
    </row>
    <row r="460" spans="26:26" x14ac:dyDescent="0.25">
      <c r="Z460">
        <v>458</v>
      </c>
    </row>
    <row r="461" spans="26:26" x14ac:dyDescent="0.25">
      <c r="Z461">
        <v>459</v>
      </c>
    </row>
    <row r="462" spans="26:26" x14ac:dyDescent="0.25">
      <c r="Z462">
        <v>460</v>
      </c>
    </row>
    <row r="463" spans="26:26" x14ac:dyDescent="0.25">
      <c r="Z463">
        <v>461</v>
      </c>
    </row>
    <row r="464" spans="26:26" x14ac:dyDescent="0.25">
      <c r="Z464">
        <v>462</v>
      </c>
    </row>
    <row r="465" spans="26:26" x14ac:dyDescent="0.25">
      <c r="Z465">
        <v>463</v>
      </c>
    </row>
    <row r="466" spans="26:26" x14ac:dyDescent="0.25">
      <c r="Z466">
        <v>464</v>
      </c>
    </row>
    <row r="467" spans="26:26" x14ac:dyDescent="0.25">
      <c r="Z467">
        <v>465</v>
      </c>
    </row>
    <row r="468" spans="26:26" x14ac:dyDescent="0.25">
      <c r="Z468">
        <v>466</v>
      </c>
    </row>
    <row r="469" spans="26:26" x14ac:dyDescent="0.25">
      <c r="Z469">
        <v>467</v>
      </c>
    </row>
    <row r="470" spans="26:26" x14ac:dyDescent="0.25">
      <c r="Z470">
        <v>468</v>
      </c>
    </row>
    <row r="471" spans="26:26" x14ac:dyDescent="0.25">
      <c r="Z471">
        <v>469</v>
      </c>
    </row>
    <row r="472" spans="26:26" x14ac:dyDescent="0.25">
      <c r="Z472">
        <v>470</v>
      </c>
    </row>
    <row r="473" spans="26:26" x14ac:dyDescent="0.25">
      <c r="Z473">
        <v>471</v>
      </c>
    </row>
    <row r="474" spans="26:26" x14ac:dyDescent="0.25">
      <c r="Z474">
        <v>472</v>
      </c>
    </row>
    <row r="475" spans="26:26" x14ac:dyDescent="0.25">
      <c r="Z475">
        <v>473</v>
      </c>
    </row>
    <row r="476" spans="26:26" x14ac:dyDescent="0.25">
      <c r="Z476">
        <v>474</v>
      </c>
    </row>
    <row r="477" spans="26:26" x14ac:dyDescent="0.25">
      <c r="Z477">
        <v>475</v>
      </c>
    </row>
    <row r="478" spans="26:26" x14ac:dyDescent="0.25">
      <c r="Z478">
        <v>476</v>
      </c>
    </row>
    <row r="479" spans="26:26" x14ac:dyDescent="0.25">
      <c r="Z479">
        <v>477</v>
      </c>
    </row>
    <row r="480" spans="26:26" x14ac:dyDescent="0.25">
      <c r="Z480">
        <v>478</v>
      </c>
    </row>
    <row r="481" spans="26:26" x14ac:dyDescent="0.25">
      <c r="Z481">
        <v>479</v>
      </c>
    </row>
    <row r="482" spans="26:26" x14ac:dyDescent="0.25">
      <c r="Z482">
        <v>480</v>
      </c>
    </row>
    <row r="483" spans="26:26" x14ac:dyDescent="0.25">
      <c r="Z483">
        <v>481</v>
      </c>
    </row>
    <row r="484" spans="26:26" x14ac:dyDescent="0.25">
      <c r="Z484">
        <v>482</v>
      </c>
    </row>
    <row r="485" spans="26:26" x14ac:dyDescent="0.25">
      <c r="Z485">
        <v>483</v>
      </c>
    </row>
    <row r="486" spans="26:26" x14ac:dyDescent="0.25">
      <c r="Z486">
        <v>484</v>
      </c>
    </row>
    <row r="487" spans="26:26" x14ac:dyDescent="0.25">
      <c r="Z487">
        <v>485</v>
      </c>
    </row>
    <row r="488" spans="26:26" x14ac:dyDescent="0.25">
      <c r="Z488">
        <v>486</v>
      </c>
    </row>
    <row r="489" spans="26:26" x14ac:dyDescent="0.25">
      <c r="Z489">
        <v>487</v>
      </c>
    </row>
    <row r="490" spans="26:26" x14ac:dyDescent="0.25">
      <c r="Z490">
        <v>488</v>
      </c>
    </row>
    <row r="491" spans="26:26" x14ac:dyDescent="0.25">
      <c r="Z491">
        <v>489</v>
      </c>
    </row>
    <row r="492" spans="26:26" x14ac:dyDescent="0.25">
      <c r="Z492">
        <v>490</v>
      </c>
    </row>
    <row r="493" spans="26:26" x14ac:dyDescent="0.25">
      <c r="Z493">
        <v>491</v>
      </c>
    </row>
    <row r="494" spans="26:26" x14ac:dyDescent="0.25">
      <c r="Z494">
        <v>492</v>
      </c>
    </row>
    <row r="495" spans="26:26" x14ac:dyDescent="0.25">
      <c r="Z495">
        <v>493</v>
      </c>
    </row>
    <row r="496" spans="26:26" x14ac:dyDescent="0.25">
      <c r="Z496">
        <v>494</v>
      </c>
    </row>
    <row r="497" spans="26:26" x14ac:dyDescent="0.25">
      <c r="Z497">
        <v>495</v>
      </c>
    </row>
    <row r="498" spans="26:26" x14ac:dyDescent="0.25">
      <c r="Z498">
        <v>496</v>
      </c>
    </row>
    <row r="499" spans="26:26" x14ac:dyDescent="0.25">
      <c r="Z499">
        <v>497</v>
      </c>
    </row>
    <row r="500" spans="26:26" x14ac:dyDescent="0.25">
      <c r="Z500">
        <v>498</v>
      </c>
    </row>
    <row r="501" spans="26:26" x14ac:dyDescent="0.25">
      <c r="Z501">
        <v>499</v>
      </c>
    </row>
    <row r="502" spans="26:26" x14ac:dyDescent="0.25">
      <c r="Z502">
        <v>500</v>
      </c>
    </row>
    <row r="503" spans="26:26" x14ac:dyDescent="0.25">
      <c r="Z503">
        <v>501</v>
      </c>
    </row>
    <row r="504" spans="26:26" x14ac:dyDescent="0.25">
      <c r="Z504">
        <v>502</v>
      </c>
    </row>
    <row r="505" spans="26:26" x14ac:dyDescent="0.25">
      <c r="Z505">
        <v>503</v>
      </c>
    </row>
    <row r="506" spans="26:26" x14ac:dyDescent="0.25">
      <c r="Z506">
        <v>504</v>
      </c>
    </row>
    <row r="507" spans="26:26" x14ac:dyDescent="0.25">
      <c r="Z507">
        <v>505</v>
      </c>
    </row>
    <row r="508" spans="26:26" x14ac:dyDescent="0.25">
      <c r="Z508">
        <v>506</v>
      </c>
    </row>
    <row r="509" spans="26:26" x14ac:dyDescent="0.25">
      <c r="Z509">
        <v>507</v>
      </c>
    </row>
    <row r="510" spans="26:26" x14ac:dyDescent="0.25">
      <c r="Z510">
        <v>508</v>
      </c>
    </row>
    <row r="511" spans="26:26" x14ac:dyDescent="0.25">
      <c r="Z511">
        <v>509</v>
      </c>
    </row>
    <row r="512" spans="26:26" x14ac:dyDescent="0.25">
      <c r="Z512">
        <v>510</v>
      </c>
    </row>
    <row r="513" spans="26:26" x14ac:dyDescent="0.25">
      <c r="Z513">
        <v>511</v>
      </c>
    </row>
    <row r="514" spans="26:26" x14ac:dyDescent="0.25">
      <c r="Z514">
        <v>512</v>
      </c>
    </row>
    <row r="515" spans="26:26" x14ac:dyDescent="0.25">
      <c r="Z515">
        <v>513</v>
      </c>
    </row>
    <row r="516" spans="26:26" x14ac:dyDescent="0.25">
      <c r="Z516">
        <v>514</v>
      </c>
    </row>
    <row r="517" spans="26:26" x14ac:dyDescent="0.25">
      <c r="Z517">
        <v>515</v>
      </c>
    </row>
    <row r="518" spans="26:26" x14ac:dyDescent="0.25">
      <c r="Z518">
        <v>516</v>
      </c>
    </row>
    <row r="519" spans="26:26" x14ac:dyDescent="0.25">
      <c r="Z519">
        <v>517</v>
      </c>
    </row>
    <row r="520" spans="26:26" x14ac:dyDescent="0.25">
      <c r="Z520">
        <v>518</v>
      </c>
    </row>
    <row r="521" spans="26:26" x14ac:dyDescent="0.25">
      <c r="Z521">
        <v>519</v>
      </c>
    </row>
    <row r="522" spans="26:26" x14ac:dyDescent="0.25">
      <c r="Z522">
        <v>520</v>
      </c>
    </row>
    <row r="523" spans="26:26" x14ac:dyDescent="0.25">
      <c r="Z523">
        <v>521</v>
      </c>
    </row>
    <row r="524" spans="26:26" x14ac:dyDescent="0.25">
      <c r="Z524">
        <v>522</v>
      </c>
    </row>
    <row r="525" spans="26:26" x14ac:dyDescent="0.25">
      <c r="Z525">
        <v>523</v>
      </c>
    </row>
    <row r="526" spans="26:26" x14ac:dyDescent="0.25">
      <c r="Z526">
        <v>524</v>
      </c>
    </row>
    <row r="527" spans="26:26" x14ac:dyDescent="0.25">
      <c r="Z527">
        <v>525</v>
      </c>
    </row>
    <row r="528" spans="26:26" x14ac:dyDescent="0.25">
      <c r="Z528">
        <v>526</v>
      </c>
    </row>
    <row r="529" spans="26:26" x14ac:dyDescent="0.25">
      <c r="Z529">
        <v>527</v>
      </c>
    </row>
    <row r="530" spans="26:26" x14ac:dyDescent="0.25">
      <c r="Z530">
        <v>528</v>
      </c>
    </row>
    <row r="531" spans="26:26" x14ac:dyDescent="0.25">
      <c r="Z531">
        <v>529</v>
      </c>
    </row>
    <row r="532" spans="26:26" x14ac:dyDescent="0.25">
      <c r="Z532">
        <v>530</v>
      </c>
    </row>
    <row r="533" spans="26:26" x14ac:dyDescent="0.25">
      <c r="Z533">
        <v>531</v>
      </c>
    </row>
    <row r="534" spans="26:26" x14ac:dyDescent="0.25">
      <c r="Z534">
        <v>532</v>
      </c>
    </row>
    <row r="535" spans="26:26" x14ac:dyDescent="0.25">
      <c r="Z535">
        <v>533</v>
      </c>
    </row>
    <row r="536" spans="26:26" x14ac:dyDescent="0.25">
      <c r="Z536">
        <v>534</v>
      </c>
    </row>
    <row r="537" spans="26:26" x14ac:dyDescent="0.25">
      <c r="Z537">
        <v>535</v>
      </c>
    </row>
    <row r="538" spans="26:26" x14ac:dyDescent="0.25">
      <c r="Z538">
        <v>536</v>
      </c>
    </row>
    <row r="539" spans="26:26" x14ac:dyDescent="0.25">
      <c r="Z539">
        <v>537</v>
      </c>
    </row>
    <row r="540" spans="26:26" x14ac:dyDescent="0.25">
      <c r="Z540">
        <v>538</v>
      </c>
    </row>
    <row r="541" spans="26:26" x14ac:dyDescent="0.25">
      <c r="Z541">
        <v>539</v>
      </c>
    </row>
    <row r="542" spans="26:26" x14ac:dyDescent="0.25">
      <c r="Z542">
        <v>540</v>
      </c>
    </row>
    <row r="543" spans="26:26" x14ac:dyDescent="0.25">
      <c r="Z543">
        <v>541</v>
      </c>
    </row>
    <row r="544" spans="26:26" x14ac:dyDescent="0.25">
      <c r="Z544">
        <v>542</v>
      </c>
    </row>
    <row r="545" spans="26:26" x14ac:dyDescent="0.25">
      <c r="Z545">
        <v>543</v>
      </c>
    </row>
    <row r="546" spans="26:26" x14ac:dyDescent="0.25">
      <c r="Z546">
        <v>544</v>
      </c>
    </row>
    <row r="547" spans="26:26" x14ac:dyDescent="0.25">
      <c r="Z547">
        <v>545</v>
      </c>
    </row>
    <row r="548" spans="26:26" x14ac:dyDescent="0.25">
      <c r="Z548">
        <v>546</v>
      </c>
    </row>
    <row r="549" spans="26:26" x14ac:dyDescent="0.25">
      <c r="Z549">
        <v>547</v>
      </c>
    </row>
    <row r="550" spans="26:26" x14ac:dyDescent="0.25">
      <c r="Z550">
        <v>548</v>
      </c>
    </row>
    <row r="551" spans="26:26" x14ac:dyDescent="0.25">
      <c r="Z551">
        <v>549</v>
      </c>
    </row>
    <row r="552" spans="26:26" x14ac:dyDescent="0.25">
      <c r="Z552">
        <v>550</v>
      </c>
    </row>
    <row r="553" spans="26:26" x14ac:dyDescent="0.25">
      <c r="Z553">
        <v>551</v>
      </c>
    </row>
    <row r="554" spans="26:26" x14ac:dyDescent="0.25">
      <c r="Z554">
        <v>552</v>
      </c>
    </row>
    <row r="555" spans="26:26" x14ac:dyDescent="0.25">
      <c r="Z555">
        <v>553</v>
      </c>
    </row>
    <row r="556" spans="26:26" x14ac:dyDescent="0.25">
      <c r="Z556">
        <v>554</v>
      </c>
    </row>
    <row r="557" spans="26:26" x14ac:dyDescent="0.25">
      <c r="Z557">
        <v>555</v>
      </c>
    </row>
    <row r="558" spans="26:26" x14ac:dyDescent="0.25">
      <c r="Z558">
        <v>556</v>
      </c>
    </row>
    <row r="559" spans="26:26" x14ac:dyDescent="0.25">
      <c r="Z559">
        <v>557</v>
      </c>
    </row>
    <row r="560" spans="26:26" x14ac:dyDescent="0.25">
      <c r="Z560">
        <v>558</v>
      </c>
    </row>
    <row r="561" spans="26:26" x14ac:dyDescent="0.25">
      <c r="Z561">
        <v>559</v>
      </c>
    </row>
    <row r="562" spans="26:26" x14ac:dyDescent="0.25">
      <c r="Z562">
        <v>560</v>
      </c>
    </row>
    <row r="563" spans="26:26" x14ac:dyDescent="0.25">
      <c r="Z563">
        <v>561</v>
      </c>
    </row>
    <row r="564" spans="26:26" x14ac:dyDescent="0.25">
      <c r="Z564">
        <v>562</v>
      </c>
    </row>
    <row r="565" spans="26:26" x14ac:dyDescent="0.25">
      <c r="Z565">
        <v>563</v>
      </c>
    </row>
    <row r="566" spans="26:26" x14ac:dyDescent="0.25">
      <c r="Z566">
        <v>564</v>
      </c>
    </row>
    <row r="567" spans="26:26" x14ac:dyDescent="0.25">
      <c r="Z567">
        <v>565</v>
      </c>
    </row>
    <row r="568" spans="26:26" x14ac:dyDescent="0.25">
      <c r="Z568">
        <v>566</v>
      </c>
    </row>
    <row r="569" spans="26:26" x14ac:dyDescent="0.25">
      <c r="Z569">
        <v>567</v>
      </c>
    </row>
    <row r="570" spans="26:26" x14ac:dyDescent="0.25">
      <c r="Z570">
        <v>568</v>
      </c>
    </row>
    <row r="571" spans="26:26" x14ac:dyDescent="0.25">
      <c r="Z571">
        <v>569</v>
      </c>
    </row>
    <row r="572" spans="26:26" x14ac:dyDescent="0.25">
      <c r="Z572">
        <v>570</v>
      </c>
    </row>
    <row r="573" spans="26:26" x14ac:dyDescent="0.25">
      <c r="Z573">
        <v>571</v>
      </c>
    </row>
    <row r="574" spans="26:26" x14ac:dyDescent="0.25">
      <c r="Z574">
        <v>572</v>
      </c>
    </row>
    <row r="575" spans="26:26" x14ac:dyDescent="0.25">
      <c r="Z575">
        <v>573</v>
      </c>
    </row>
    <row r="576" spans="26:26" x14ac:dyDescent="0.25">
      <c r="Z576">
        <v>574</v>
      </c>
    </row>
    <row r="577" spans="26:26" x14ac:dyDescent="0.25">
      <c r="Z577">
        <v>575</v>
      </c>
    </row>
    <row r="578" spans="26:26" x14ac:dyDescent="0.25">
      <c r="Z578">
        <v>576</v>
      </c>
    </row>
    <row r="579" spans="26:26" x14ac:dyDescent="0.25">
      <c r="Z579">
        <v>577</v>
      </c>
    </row>
    <row r="580" spans="26:26" x14ac:dyDescent="0.25">
      <c r="Z580">
        <v>578</v>
      </c>
    </row>
    <row r="581" spans="26:26" x14ac:dyDescent="0.25">
      <c r="Z581">
        <v>579</v>
      </c>
    </row>
    <row r="582" spans="26:26" x14ac:dyDescent="0.25">
      <c r="Z582">
        <v>580</v>
      </c>
    </row>
    <row r="583" spans="26:26" x14ac:dyDescent="0.25">
      <c r="Z583">
        <v>581</v>
      </c>
    </row>
    <row r="584" spans="26:26" x14ac:dyDescent="0.25">
      <c r="Z584">
        <v>582</v>
      </c>
    </row>
    <row r="585" spans="26:26" x14ac:dyDescent="0.25">
      <c r="Z585">
        <v>583</v>
      </c>
    </row>
    <row r="586" spans="26:26" x14ac:dyDescent="0.25">
      <c r="Z586">
        <v>584</v>
      </c>
    </row>
    <row r="587" spans="26:26" x14ac:dyDescent="0.25">
      <c r="Z587">
        <v>585</v>
      </c>
    </row>
    <row r="588" spans="26:26" x14ac:dyDescent="0.25">
      <c r="Z588">
        <v>586</v>
      </c>
    </row>
    <row r="589" spans="26:26" x14ac:dyDescent="0.25">
      <c r="Z589">
        <v>587</v>
      </c>
    </row>
    <row r="590" spans="26:26" x14ac:dyDescent="0.25">
      <c r="Z590">
        <v>588</v>
      </c>
    </row>
    <row r="591" spans="26:26" x14ac:dyDescent="0.25">
      <c r="Z591">
        <v>589</v>
      </c>
    </row>
    <row r="592" spans="26:26" x14ac:dyDescent="0.25">
      <c r="Z592">
        <v>590</v>
      </c>
    </row>
    <row r="593" spans="26:26" x14ac:dyDescent="0.25">
      <c r="Z593">
        <v>591</v>
      </c>
    </row>
    <row r="594" spans="26:26" x14ac:dyDescent="0.25">
      <c r="Z594">
        <v>592</v>
      </c>
    </row>
    <row r="595" spans="26:26" x14ac:dyDescent="0.25">
      <c r="Z595">
        <v>593</v>
      </c>
    </row>
    <row r="596" spans="26:26" x14ac:dyDescent="0.25">
      <c r="Z596">
        <v>594</v>
      </c>
    </row>
    <row r="597" spans="26:26" x14ac:dyDescent="0.25">
      <c r="Z597">
        <v>595</v>
      </c>
    </row>
    <row r="598" spans="26:26" x14ac:dyDescent="0.25">
      <c r="Z598">
        <v>596</v>
      </c>
    </row>
    <row r="599" spans="26:26" x14ac:dyDescent="0.25">
      <c r="Z599">
        <v>597</v>
      </c>
    </row>
    <row r="600" spans="26:26" x14ac:dyDescent="0.25">
      <c r="Z600">
        <v>598</v>
      </c>
    </row>
    <row r="601" spans="26:26" x14ac:dyDescent="0.25">
      <c r="Z601">
        <v>599</v>
      </c>
    </row>
    <row r="602" spans="26:26" x14ac:dyDescent="0.25">
      <c r="Z602">
        <v>600</v>
      </c>
    </row>
    <row r="603" spans="26:26" x14ac:dyDescent="0.25">
      <c r="Z603">
        <v>601</v>
      </c>
    </row>
    <row r="604" spans="26:26" x14ac:dyDescent="0.25">
      <c r="Z604">
        <v>602</v>
      </c>
    </row>
    <row r="605" spans="26:26" x14ac:dyDescent="0.25">
      <c r="Z605">
        <v>603</v>
      </c>
    </row>
    <row r="606" spans="26:26" x14ac:dyDescent="0.25">
      <c r="Z606">
        <v>604</v>
      </c>
    </row>
    <row r="607" spans="26:26" x14ac:dyDescent="0.25">
      <c r="Z607">
        <v>605</v>
      </c>
    </row>
    <row r="608" spans="26:26" x14ac:dyDescent="0.25">
      <c r="Z608">
        <v>606</v>
      </c>
    </row>
    <row r="609" spans="26:26" x14ac:dyDescent="0.25">
      <c r="Z609">
        <v>607</v>
      </c>
    </row>
    <row r="610" spans="26:26" x14ac:dyDescent="0.25">
      <c r="Z610">
        <v>608</v>
      </c>
    </row>
    <row r="611" spans="26:26" x14ac:dyDescent="0.25">
      <c r="Z611">
        <v>609</v>
      </c>
    </row>
    <row r="612" spans="26:26" x14ac:dyDescent="0.25">
      <c r="Z612">
        <v>610</v>
      </c>
    </row>
    <row r="613" spans="26:26" x14ac:dyDescent="0.25">
      <c r="Z613">
        <v>611</v>
      </c>
    </row>
    <row r="614" spans="26:26" x14ac:dyDescent="0.25">
      <c r="Z614">
        <v>612</v>
      </c>
    </row>
    <row r="615" spans="26:26" x14ac:dyDescent="0.25">
      <c r="Z615">
        <v>613</v>
      </c>
    </row>
    <row r="616" spans="26:26" x14ac:dyDescent="0.25">
      <c r="Z616">
        <v>614</v>
      </c>
    </row>
    <row r="617" spans="26:26" x14ac:dyDescent="0.25">
      <c r="Z617">
        <v>615</v>
      </c>
    </row>
    <row r="618" spans="26:26" x14ac:dyDescent="0.25">
      <c r="Z618">
        <v>616</v>
      </c>
    </row>
    <row r="619" spans="26:26" x14ac:dyDescent="0.25">
      <c r="Z619">
        <v>617</v>
      </c>
    </row>
    <row r="620" spans="26:26" x14ac:dyDescent="0.25">
      <c r="Z620">
        <v>618</v>
      </c>
    </row>
    <row r="621" spans="26:26" x14ac:dyDescent="0.25">
      <c r="Z621">
        <v>619</v>
      </c>
    </row>
    <row r="622" spans="26:26" x14ac:dyDescent="0.25">
      <c r="Z622">
        <v>620</v>
      </c>
    </row>
    <row r="623" spans="26:26" x14ac:dyDescent="0.25">
      <c r="Z623">
        <v>621</v>
      </c>
    </row>
    <row r="624" spans="26:26" x14ac:dyDescent="0.25">
      <c r="Z624">
        <v>622</v>
      </c>
    </row>
    <row r="625" spans="26:26" x14ac:dyDescent="0.25">
      <c r="Z625">
        <v>623</v>
      </c>
    </row>
    <row r="626" spans="26:26" x14ac:dyDescent="0.25">
      <c r="Z626">
        <v>624</v>
      </c>
    </row>
    <row r="627" spans="26:26" x14ac:dyDescent="0.25">
      <c r="Z627">
        <v>625</v>
      </c>
    </row>
    <row r="628" spans="26:26" x14ac:dyDescent="0.25">
      <c r="Z628">
        <v>626</v>
      </c>
    </row>
    <row r="629" spans="26:26" x14ac:dyDescent="0.25">
      <c r="Z629">
        <v>627</v>
      </c>
    </row>
    <row r="630" spans="26:26" x14ac:dyDescent="0.25">
      <c r="Z630">
        <v>628</v>
      </c>
    </row>
    <row r="631" spans="26:26" x14ac:dyDescent="0.25">
      <c r="Z631">
        <v>629</v>
      </c>
    </row>
    <row r="632" spans="26:26" x14ac:dyDescent="0.25">
      <c r="Z632">
        <v>630</v>
      </c>
    </row>
    <row r="633" spans="26:26" x14ac:dyDescent="0.25">
      <c r="Z633">
        <v>631</v>
      </c>
    </row>
    <row r="634" spans="26:26" x14ac:dyDescent="0.25">
      <c r="Z634">
        <v>632</v>
      </c>
    </row>
    <row r="635" spans="26:26" x14ac:dyDescent="0.25">
      <c r="Z635">
        <v>633</v>
      </c>
    </row>
    <row r="636" spans="26:26" x14ac:dyDescent="0.25">
      <c r="Z636">
        <v>634</v>
      </c>
    </row>
    <row r="637" spans="26:26" x14ac:dyDescent="0.25">
      <c r="Z637">
        <v>635</v>
      </c>
    </row>
    <row r="638" spans="26:26" x14ac:dyDescent="0.25">
      <c r="Z638">
        <v>636</v>
      </c>
    </row>
    <row r="639" spans="26:26" x14ac:dyDescent="0.25">
      <c r="Z639">
        <v>637</v>
      </c>
    </row>
    <row r="640" spans="26:26" x14ac:dyDescent="0.25">
      <c r="Z640">
        <v>638</v>
      </c>
    </row>
    <row r="641" spans="26:26" x14ac:dyDescent="0.25">
      <c r="Z641">
        <v>639</v>
      </c>
    </row>
    <row r="642" spans="26:26" x14ac:dyDescent="0.25">
      <c r="Z642">
        <v>640</v>
      </c>
    </row>
    <row r="643" spans="26:26" x14ac:dyDescent="0.25">
      <c r="Z643">
        <v>641</v>
      </c>
    </row>
    <row r="644" spans="26:26" x14ac:dyDescent="0.25">
      <c r="Z644">
        <v>642</v>
      </c>
    </row>
    <row r="645" spans="26:26" x14ac:dyDescent="0.25">
      <c r="Z645">
        <v>643</v>
      </c>
    </row>
    <row r="646" spans="26:26" x14ac:dyDescent="0.25">
      <c r="Z646">
        <v>644</v>
      </c>
    </row>
    <row r="647" spans="26:26" x14ac:dyDescent="0.25">
      <c r="Z647">
        <v>645</v>
      </c>
    </row>
    <row r="648" spans="26:26" x14ac:dyDescent="0.25">
      <c r="Z648">
        <v>646</v>
      </c>
    </row>
    <row r="649" spans="26:26" x14ac:dyDescent="0.25">
      <c r="Z649">
        <v>647</v>
      </c>
    </row>
    <row r="650" spans="26:26" x14ac:dyDescent="0.25">
      <c r="Z650">
        <v>648</v>
      </c>
    </row>
    <row r="651" spans="26:26" x14ac:dyDescent="0.25">
      <c r="Z651">
        <v>649</v>
      </c>
    </row>
    <row r="652" spans="26:26" x14ac:dyDescent="0.25">
      <c r="Z652">
        <v>650</v>
      </c>
    </row>
    <row r="653" spans="26:26" x14ac:dyDescent="0.25">
      <c r="Z653">
        <v>651</v>
      </c>
    </row>
    <row r="654" spans="26:26" x14ac:dyDescent="0.25">
      <c r="Z654">
        <v>652</v>
      </c>
    </row>
    <row r="655" spans="26:26" x14ac:dyDescent="0.25">
      <c r="Z655">
        <v>653</v>
      </c>
    </row>
    <row r="656" spans="26:26" x14ac:dyDescent="0.25">
      <c r="Z656">
        <v>654</v>
      </c>
    </row>
    <row r="657" spans="26:26" x14ac:dyDescent="0.25">
      <c r="Z657">
        <v>655</v>
      </c>
    </row>
    <row r="658" spans="26:26" x14ac:dyDescent="0.25">
      <c r="Z658">
        <v>656</v>
      </c>
    </row>
    <row r="659" spans="26:26" x14ac:dyDescent="0.25">
      <c r="Z659">
        <v>657</v>
      </c>
    </row>
    <row r="660" spans="26:26" x14ac:dyDescent="0.25">
      <c r="Z660">
        <v>658</v>
      </c>
    </row>
    <row r="661" spans="26:26" x14ac:dyDescent="0.25">
      <c r="Z661">
        <v>659</v>
      </c>
    </row>
    <row r="662" spans="26:26" x14ac:dyDescent="0.25">
      <c r="Z662">
        <v>660</v>
      </c>
    </row>
    <row r="663" spans="26:26" x14ac:dyDescent="0.25">
      <c r="Z663">
        <v>661</v>
      </c>
    </row>
    <row r="664" spans="26:26" x14ac:dyDescent="0.25">
      <c r="Z664">
        <v>662</v>
      </c>
    </row>
    <row r="665" spans="26:26" x14ac:dyDescent="0.25">
      <c r="Z665">
        <v>663</v>
      </c>
    </row>
    <row r="666" spans="26:26" x14ac:dyDescent="0.25">
      <c r="Z666">
        <v>664</v>
      </c>
    </row>
    <row r="667" spans="26:26" x14ac:dyDescent="0.25">
      <c r="Z667">
        <v>665</v>
      </c>
    </row>
    <row r="668" spans="26:26" x14ac:dyDescent="0.25">
      <c r="Z668">
        <v>666</v>
      </c>
    </row>
    <row r="669" spans="26:26" x14ac:dyDescent="0.25">
      <c r="Z669">
        <v>667</v>
      </c>
    </row>
    <row r="670" spans="26:26" x14ac:dyDescent="0.25">
      <c r="Z670">
        <v>668</v>
      </c>
    </row>
    <row r="671" spans="26:26" x14ac:dyDescent="0.25">
      <c r="Z671">
        <v>669</v>
      </c>
    </row>
    <row r="672" spans="26:26" x14ac:dyDescent="0.25">
      <c r="Z672">
        <v>670</v>
      </c>
    </row>
    <row r="673" spans="26:26" x14ac:dyDescent="0.25">
      <c r="Z673">
        <v>671</v>
      </c>
    </row>
    <row r="674" spans="26:26" x14ac:dyDescent="0.25">
      <c r="Z674">
        <v>672</v>
      </c>
    </row>
    <row r="675" spans="26:26" x14ac:dyDescent="0.25">
      <c r="Z675">
        <v>673</v>
      </c>
    </row>
    <row r="676" spans="26:26" x14ac:dyDescent="0.25">
      <c r="Z676">
        <v>674</v>
      </c>
    </row>
    <row r="677" spans="26:26" x14ac:dyDescent="0.25">
      <c r="Z677">
        <v>675</v>
      </c>
    </row>
    <row r="678" spans="26:26" x14ac:dyDescent="0.25">
      <c r="Z678">
        <v>676</v>
      </c>
    </row>
    <row r="679" spans="26:26" x14ac:dyDescent="0.25">
      <c r="Z679">
        <v>677</v>
      </c>
    </row>
    <row r="680" spans="26:26" x14ac:dyDescent="0.25">
      <c r="Z680">
        <v>678</v>
      </c>
    </row>
    <row r="681" spans="26:26" x14ac:dyDescent="0.25">
      <c r="Z681">
        <v>679</v>
      </c>
    </row>
    <row r="682" spans="26:26" x14ac:dyDescent="0.25">
      <c r="Z682">
        <v>680</v>
      </c>
    </row>
    <row r="683" spans="26:26" x14ac:dyDescent="0.25">
      <c r="Z683">
        <v>681</v>
      </c>
    </row>
    <row r="684" spans="26:26" x14ac:dyDescent="0.25">
      <c r="Z684">
        <v>682</v>
      </c>
    </row>
    <row r="685" spans="26:26" x14ac:dyDescent="0.25">
      <c r="Z685">
        <v>683</v>
      </c>
    </row>
    <row r="686" spans="26:26" x14ac:dyDescent="0.25">
      <c r="Z686">
        <v>684</v>
      </c>
    </row>
    <row r="687" spans="26:26" x14ac:dyDescent="0.25">
      <c r="Z687">
        <v>685</v>
      </c>
    </row>
    <row r="688" spans="26:26" x14ac:dyDescent="0.25">
      <c r="Z688">
        <v>686</v>
      </c>
    </row>
    <row r="689" spans="26:26" x14ac:dyDescent="0.25">
      <c r="Z689">
        <v>687</v>
      </c>
    </row>
    <row r="690" spans="26:26" x14ac:dyDescent="0.25">
      <c r="Z690">
        <v>688</v>
      </c>
    </row>
    <row r="691" spans="26:26" x14ac:dyDescent="0.25">
      <c r="Z691">
        <v>689</v>
      </c>
    </row>
    <row r="692" spans="26:26" x14ac:dyDescent="0.25">
      <c r="Z692">
        <v>690</v>
      </c>
    </row>
    <row r="693" spans="26:26" x14ac:dyDescent="0.25">
      <c r="Z693">
        <v>691</v>
      </c>
    </row>
    <row r="694" spans="26:26" x14ac:dyDescent="0.25">
      <c r="Z694">
        <v>692</v>
      </c>
    </row>
    <row r="695" spans="26:26" x14ac:dyDescent="0.25">
      <c r="Z695">
        <v>693</v>
      </c>
    </row>
    <row r="696" spans="26:26" x14ac:dyDescent="0.25">
      <c r="Z696">
        <v>694</v>
      </c>
    </row>
    <row r="697" spans="26:26" x14ac:dyDescent="0.25">
      <c r="Z697">
        <v>695</v>
      </c>
    </row>
    <row r="698" spans="26:26" x14ac:dyDescent="0.25">
      <c r="Z698">
        <v>696</v>
      </c>
    </row>
    <row r="699" spans="26:26" x14ac:dyDescent="0.25">
      <c r="Z699">
        <v>697</v>
      </c>
    </row>
    <row r="700" spans="26:26" x14ac:dyDescent="0.25">
      <c r="Z700">
        <v>698</v>
      </c>
    </row>
    <row r="701" spans="26:26" x14ac:dyDescent="0.25">
      <c r="Z701">
        <v>699</v>
      </c>
    </row>
    <row r="702" spans="26:26" x14ac:dyDescent="0.25">
      <c r="Z702">
        <v>700</v>
      </c>
    </row>
    <row r="703" spans="26:26" x14ac:dyDescent="0.25">
      <c r="Z703">
        <v>701</v>
      </c>
    </row>
    <row r="704" spans="26:26" x14ac:dyDescent="0.25">
      <c r="Z704">
        <v>702</v>
      </c>
    </row>
    <row r="705" spans="26:26" x14ac:dyDescent="0.25">
      <c r="Z705">
        <v>703</v>
      </c>
    </row>
    <row r="706" spans="26:26" x14ac:dyDescent="0.25">
      <c r="Z706">
        <v>704</v>
      </c>
    </row>
    <row r="707" spans="26:26" x14ac:dyDescent="0.25">
      <c r="Z707">
        <v>705</v>
      </c>
    </row>
    <row r="708" spans="26:26" x14ac:dyDescent="0.25">
      <c r="Z708">
        <v>706</v>
      </c>
    </row>
    <row r="709" spans="26:26" x14ac:dyDescent="0.25">
      <c r="Z709">
        <v>707</v>
      </c>
    </row>
    <row r="710" spans="26:26" x14ac:dyDescent="0.25">
      <c r="Z710">
        <v>708</v>
      </c>
    </row>
    <row r="711" spans="26:26" x14ac:dyDescent="0.25">
      <c r="Z711">
        <v>709</v>
      </c>
    </row>
    <row r="712" spans="26:26" x14ac:dyDescent="0.25">
      <c r="Z712">
        <v>710</v>
      </c>
    </row>
    <row r="713" spans="26:26" x14ac:dyDescent="0.25">
      <c r="Z713">
        <v>711</v>
      </c>
    </row>
    <row r="714" spans="26:26" x14ac:dyDescent="0.25">
      <c r="Z714">
        <v>712</v>
      </c>
    </row>
    <row r="715" spans="26:26" x14ac:dyDescent="0.25">
      <c r="Z715">
        <v>713</v>
      </c>
    </row>
    <row r="716" spans="26:26" x14ac:dyDescent="0.25">
      <c r="Z716">
        <v>714</v>
      </c>
    </row>
    <row r="717" spans="26:26" x14ac:dyDescent="0.25">
      <c r="Z717">
        <v>715</v>
      </c>
    </row>
    <row r="718" spans="26:26" x14ac:dyDescent="0.25">
      <c r="Z718">
        <v>716</v>
      </c>
    </row>
    <row r="719" spans="26:26" x14ac:dyDescent="0.25">
      <c r="Z719">
        <v>717</v>
      </c>
    </row>
    <row r="720" spans="26:26" x14ac:dyDescent="0.25">
      <c r="Z720">
        <v>718</v>
      </c>
    </row>
    <row r="721" spans="26:26" x14ac:dyDescent="0.25">
      <c r="Z721">
        <v>719</v>
      </c>
    </row>
    <row r="722" spans="26:26" x14ac:dyDescent="0.25">
      <c r="Z722">
        <v>720</v>
      </c>
    </row>
    <row r="723" spans="26:26" x14ac:dyDescent="0.25">
      <c r="Z723">
        <v>721</v>
      </c>
    </row>
    <row r="724" spans="26:26" x14ac:dyDescent="0.25">
      <c r="Z724">
        <v>722</v>
      </c>
    </row>
    <row r="725" spans="26:26" x14ac:dyDescent="0.25">
      <c r="Z725">
        <v>723</v>
      </c>
    </row>
    <row r="726" spans="26:26" x14ac:dyDescent="0.25">
      <c r="Z726">
        <v>724</v>
      </c>
    </row>
    <row r="727" spans="26:26" x14ac:dyDescent="0.25">
      <c r="Z727">
        <v>725</v>
      </c>
    </row>
    <row r="728" spans="26:26" x14ac:dyDescent="0.25">
      <c r="Z728">
        <v>726</v>
      </c>
    </row>
    <row r="729" spans="26:26" x14ac:dyDescent="0.25">
      <c r="Z729">
        <v>727</v>
      </c>
    </row>
    <row r="730" spans="26:26" x14ac:dyDescent="0.25">
      <c r="Z730">
        <v>728</v>
      </c>
    </row>
    <row r="731" spans="26:26" x14ac:dyDescent="0.25">
      <c r="Z731">
        <v>729</v>
      </c>
    </row>
    <row r="732" spans="26:26" x14ac:dyDescent="0.25">
      <c r="Z732">
        <v>730</v>
      </c>
    </row>
    <row r="733" spans="26:26" x14ac:dyDescent="0.25">
      <c r="Z733">
        <v>731</v>
      </c>
    </row>
    <row r="734" spans="26:26" x14ac:dyDescent="0.25">
      <c r="Z734">
        <v>732</v>
      </c>
    </row>
    <row r="735" spans="26:26" x14ac:dyDescent="0.25">
      <c r="Z735">
        <v>733</v>
      </c>
    </row>
    <row r="736" spans="26:26" x14ac:dyDescent="0.25">
      <c r="Z736">
        <v>734</v>
      </c>
    </row>
    <row r="737" spans="26:26" x14ac:dyDescent="0.25">
      <c r="Z737">
        <v>735</v>
      </c>
    </row>
    <row r="738" spans="26:26" x14ac:dyDescent="0.25">
      <c r="Z738">
        <v>736</v>
      </c>
    </row>
    <row r="739" spans="26:26" x14ac:dyDescent="0.25">
      <c r="Z739">
        <v>737</v>
      </c>
    </row>
    <row r="740" spans="26:26" x14ac:dyDescent="0.25">
      <c r="Z740">
        <v>738</v>
      </c>
    </row>
    <row r="741" spans="26:26" x14ac:dyDescent="0.25">
      <c r="Z741">
        <v>739</v>
      </c>
    </row>
    <row r="742" spans="26:26" x14ac:dyDescent="0.25">
      <c r="Z742">
        <v>740</v>
      </c>
    </row>
    <row r="743" spans="26:26" x14ac:dyDescent="0.25">
      <c r="Z743">
        <v>741</v>
      </c>
    </row>
    <row r="744" spans="26:26" x14ac:dyDescent="0.25">
      <c r="Z744">
        <v>742</v>
      </c>
    </row>
    <row r="745" spans="26:26" x14ac:dyDescent="0.25">
      <c r="Z745">
        <v>743</v>
      </c>
    </row>
    <row r="746" spans="26:26" x14ac:dyDescent="0.25">
      <c r="Z746">
        <v>744</v>
      </c>
    </row>
    <row r="747" spans="26:26" x14ac:dyDescent="0.25">
      <c r="Z747">
        <v>745</v>
      </c>
    </row>
    <row r="748" spans="26:26" x14ac:dyDescent="0.25">
      <c r="Z748">
        <v>746</v>
      </c>
    </row>
    <row r="749" spans="26:26" x14ac:dyDescent="0.25">
      <c r="Z749">
        <v>747</v>
      </c>
    </row>
    <row r="750" spans="26:26" x14ac:dyDescent="0.25">
      <c r="Z750">
        <v>748</v>
      </c>
    </row>
    <row r="751" spans="26:26" x14ac:dyDescent="0.25">
      <c r="Z751">
        <v>749</v>
      </c>
    </row>
    <row r="752" spans="26:26" x14ac:dyDescent="0.25">
      <c r="Z752">
        <v>750</v>
      </c>
    </row>
    <row r="753" spans="26:26" x14ac:dyDescent="0.25">
      <c r="Z753">
        <v>751</v>
      </c>
    </row>
    <row r="754" spans="26:26" x14ac:dyDescent="0.25">
      <c r="Z754">
        <v>752</v>
      </c>
    </row>
    <row r="755" spans="26:26" x14ac:dyDescent="0.25">
      <c r="Z755">
        <v>753</v>
      </c>
    </row>
    <row r="756" spans="26:26" x14ac:dyDescent="0.25">
      <c r="Z756">
        <v>754</v>
      </c>
    </row>
    <row r="757" spans="26:26" x14ac:dyDescent="0.25">
      <c r="Z757">
        <v>755</v>
      </c>
    </row>
    <row r="758" spans="26:26" x14ac:dyDescent="0.25">
      <c r="Z758">
        <v>756</v>
      </c>
    </row>
    <row r="759" spans="26:26" x14ac:dyDescent="0.25">
      <c r="Z759">
        <v>757</v>
      </c>
    </row>
    <row r="760" spans="26:26" x14ac:dyDescent="0.25">
      <c r="Z760">
        <v>758</v>
      </c>
    </row>
    <row r="761" spans="26:26" x14ac:dyDescent="0.25">
      <c r="Z761">
        <v>759</v>
      </c>
    </row>
    <row r="762" spans="26:26" x14ac:dyDescent="0.25">
      <c r="Z762">
        <v>760</v>
      </c>
    </row>
    <row r="763" spans="26:26" x14ac:dyDescent="0.25">
      <c r="Z763">
        <v>761</v>
      </c>
    </row>
    <row r="764" spans="26:26" x14ac:dyDescent="0.25">
      <c r="Z764">
        <v>762</v>
      </c>
    </row>
    <row r="765" spans="26:26" x14ac:dyDescent="0.25">
      <c r="Z765">
        <v>763</v>
      </c>
    </row>
    <row r="766" spans="26:26" x14ac:dyDescent="0.25">
      <c r="Z766">
        <v>764</v>
      </c>
    </row>
    <row r="767" spans="26:26" x14ac:dyDescent="0.25">
      <c r="Z767">
        <v>765</v>
      </c>
    </row>
    <row r="768" spans="26:26" x14ac:dyDescent="0.25">
      <c r="Z768">
        <v>766</v>
      </c>
    </row>
    <row r="769" spans="26:26" x14ac:dyDescent="0.25">
      <c r="Z769">
        <v>767</v>
      </c>
    </row>
    <row r="770" spans="26:26" x14ac:dyDescent="0.25">
      <c r="Z770">
        <v>768</v>
      </c>
    </row>
    <row r="771" spans="26:26" x14ac:dyDescent="0.25">
      <c r="Z771">
        <v>769</v>
      </c>
    </row>
    <row r="772" spans="26:26" x14ac:dyDescent="0.25">
      <c r="Z772">
        <v>770</v>
      </c>
    </row>
    <row r="773" spans="26:26" x14ac:dyDescent="0.25">
      <c r="Z773">
        <v>771</v>
      </c>
    </row>
    <row r="774" spans="26:26" x14ac:dyDescent="0.25">
      <c r="Z774">
        <v>772</v>
      </c>
    </row>
    <row r="775" spans="26:26" x14ac:dyDescent="0.25">
      <c r="Z775">
        <v>773</v>
      </c>
    </row>
    <row r="776" spans="26:26" x14ac:dyDescent="0.25">
      <c r="Z776">
        <v>774</v>
      </c>
    </row>
    <row r="777" spans="26:26" x14ac:dyDescent="0.25">
      <c r="Z777">
        <v>775</v>
      </c>
    </row>
    <row r="778" spans="26:26" x14ac:dyDescent="0.25">
      <c r="Z778">
        <v>776</v>
      </c>
    </row>
    <row r="779" spans="26:26" x14ac:dyDescent="0.25">
      <c r="Z779">
        <v>777</v>
      </c>
    </row>
    <row r="780" spans="26:26" x14ac:dyDescent="0.25">
      <c r="Z780">
        <v>778</v>
      </c>
    </row>
    <row r="781" spans="26:26" x14ac:dyDescent="0.25">
      <c r="Z781">
        <v>779</v>
      </c>
    </row>
    <row r="782" spans="26:26" x14ac:dyDescent="0.25">
      <c r="Z782">
        <v>780</v>
      </c>
    </row>
    <row r="783" spans="26:26" x14ac:dyDescent="0.25">
      <c r="Z783">
        <v>781</v>
      </c>
    </row>
    <row r="784" spans="26:26" x14ac:dyDescent="0.25">
      <c r="Z784">
        <v>782</v>
      </c>
    </row>
    <row r="785" spans="26:26" x14ac:dyDescent="0.25">
      <c r="Z785">
        <v>783</v>
      </c>
    </row>
    <row r="786" spans="26:26" x14ac:dyDescent="0.25">
      <c r="Z786">
        <v>784</v>
      </c>
    </row>
    <row r="787" spans="26:26" x14ac:dyDescent="0.25">
      <c r="Z787">
        <v>785</v>
      </c>
    </row>
    <row r="788" spans="26:26" x14ac:dyDescent="0.25">
      <c r="Z788">
        <v>786</v>
      </c>
    </row>
    <row r="789" spans="26:26" x14ac:dyDescent="0.25">
      <c r="Z789">
        <v>787</v>
      </c>
    </row>
    <row r="790" spans="26:26" x14ac:dyDescent="0.25">
      <c r="Z790">
        <v>788</v>
      </c>
    </row>
    <row r="791" spans="26:26" x14ac:dyDescent="0.25">
      <c r="Z791">
        <v>789</v>
      </c>
    </row>
    <row r="792" spans="26:26" x14ac:dyDescent="0.25">
      <c r="Z792">
        <v>790</v>
      </c>
    </row>
    <row r="793" spans="26:26" x14ac:dyDescent="0.25">
      <c r="Z793">
        <v>791</v>
      </c>
    </row>
    <row r="794" spans="26:26" x14ac:dyDescent="0.25">
      <c r="Z794">
        <v>792</v>
      </c>
    </row>
    <row r="795" spans="26:26" x14ac:dyDescent="0.25">
      <c r="Z795">
        <v>793</v>
      </c>
    </row>
    <row r="796" spans="26:26" x14ac:dyDescent="0.25">
      <c r="Z796">
        <v>794</v>
      </c>
    </row>
    <row r="797" spans="26:26" x14ac:dyDescent="0.25">
      <c r="Z797">
        <v>795</v>
      </c>
    </row>
    <row r="798" spans="26:26" x14ac:dyDescent="0.25">
      <c r="Z798">
        <v>796</v>
      </c>
    </row>
    <row r="799" spans="26:26" x14ac:dyDescent="0.25">
      <c r="Z799">
        <v>797</v>
      </c>
    </row>
    <row r="800" spans="26:26" x14ac:dyDescent="0.25">
      <c r="Z800">
        <v>798</v>
      </c>
    </row>
    <row r="801" spans="26:26" x14ac:dyDescent="0.25">
      <c r="Z801">
        <v>799</v>
      </c>
    </row>
    <row r="802" spans="26:26" x14ac:dyDescent="0.25">
      <c r="Z802">
        <v>800</v>
      </c>
    </row>
    <row r="803" spans="26:26" x14ac:dyDescent="0.25">
      <c r="Z803">
        <v>801</v>
      </c>
    </row>
    <row r="804" spans="26:26" x14ac:dyDescent="0.25">
      <c r="Z804">
        <v>802</v>
      </c>
    </row>
    <row r="805" spans="26:26" x14ac:dyDescent="0.25">
      <c r="Z805">
        <v>803</v>
      </c>
    </row>
    <row r="806" spans="26:26" x14ac:dyDescent="0.25">
      <c r="Z806">
        <v>804</v>
      </c>
    </row>
    <row r="807" spans="26:26" x14ac:dyDescent="0.25">
      <c r="Z807">
        <v>805</v>
      </c>
    </row>
    <row r="808" spans="26:26" x14ac:dyDescent="0.25">
      <c r="Z808">
        <v>806</v>
      </c>
    </row>
    <row r="809" spans="26:26" x14ac:dyDescent="0.25">
      <c r="Z809">
        <v>807</v>
      </c>
    </row>
    <row r="810" spans="26:26" x14ac:dyDescent="0.25">
      <c r="Z810">
        <v>808</v>
      </c>
    </row>
    <row r="811" spans="26:26" x14ac:dyDescent="0.25">
      <c r="Z811">
        <v>809</v>
      </c>
    </row>
    <row r="812" spans="26:26" x14ac:dyDescent="0.25">
      <c r="Z812">
        <v>810</v>
      </c>
    </row>
    <row r="813" spans="26:26" x14ac:dyDescent="0.25">
      <c r="Z813">
        <v>811</v>
      </c>
    </row>
    <row r="814" spans="26:26" x14ac:dyDescent="0.25">
      <c r="Z814">
        <v>812</v>
      </c>
    </row>
    <row r="815" spans="26:26" x14ac:dyDescent="0.25">
      <c r="Z815">
        <v>813</v>
      </c>
    </row>
    <row r="816" spans="26:26" x14ac:dyDescent="0.25">
      <c r="Z816">
        <v>814</v>
      </c>
    </row>
    <row r="817" spans="26:26" x14ac:dyDescent="0.25">
      <c r="Z817">
        <v>815</v>
      </c>
    </row>
    <row r="818" spans="26:26" x14ac:dyDescent="0.25">
      <c r="Z818">
        <v>816</v>
      </c>
    </row>
    <row r="819" spans="26:26" x14ac:dyDescent="0.25">
      <c r="Z819">
        <v>817</v>
      </c>
    </row>
    <row r="820" spans="26:26" x14ac:dyDescent="0.25">
      <c r="Z820">
        <v>818</v>
      </c>
    </row>
    <row r="821" spans="26:26" x14ac:dyDescent="0.25">
      <c r="Z821">
        <v>819</v>
      </c>
    </row>
    <row r="822" spans="26:26" x14ac:dyDescent="0.25">
      <c r="Z822">
        <v>820</v>
      </c>
    </row>
    <row r="823" spans="26:26" x14ac:dyDescent="0.25">
      <c r="Z823">
        <v>821</v>
      </c>
    </row>
    <row r="824" spans="26:26" x14ac:dyDescent="0.25">
      <c r="Z824">
        <v>822</v>
      </c>
    </row>
    <row r="825" spans="26:26" x14ac:dyDescent="0.25">
      <c r="Z825">
        <v>823</v>
      </c>
    </row>
    <row r="826" spans="26:26" x14ac:dyDescent="0.25">
      <c r="Z826">
        <v>824</v>
      </c>
    </row>
    <row r="827" spans="26:26" x14ac:dyDescent="0.25">
      <c r="Z827">
        <v>825</v>
      </c>
    </row>
    <row r="828" spans="26:26" x14ac:dyDescent="0.25">
      <c r="Z828">
        <v>826</v>
      </c>
    </row>
    <row r="829" spans="26:26" x14ac:dyDescent="0.25">
      <c r="Z829">
        <v>827</v>
      </c>
    </row>
    <row r="830" spans="26:26" x14ac:dyDescent="0.25">
      <c r="Z830">
        <v>828</v>
      </c>
    </row>
    <row r="831" spans="26:26" x14ac:dyDescent="0.25">
      <c r="Z831">
        <v>829</v>
      </c>
    </row>
    <row r="832" spans="26:26" x14ac:dyDescent="0.25">
      <c r="Z832">
        <v>830</v>
      </c>
    </row>
    <row r="833" spans="26:26" x14ac:dyDescent="0.25">
      <c r="Z833">
        <v>831</v>
      </c>
    </row>
    <row r="834" spans="26:26" x14ac:dyDescent="0.25">
      <c r="Z834">
        <v>832</v>
      </c>
    </row>
    <row r="835" spans="26:26" x14ac:dyDescent="0.25">
      <c r="Z835">
        <v>833</v>
      </c>
    </row>
    <row r="836" spans="26:26" x14ac:dyDescent="0.25">
      <c r="Z836">
        <v>834</v>
      </c>
    </row>
    <row r="837" spans="26:26" x14ac:dyDescent="0.25">
      <c r="Z837">
        <v>835</v>
      </c>
    </row>
    <row r="838" spans="26:26" x14ac:dyDescent="0.25">
      <c r="Z838">
        <v>836</v>
      </c>
    </row>
    <row r="839" spans="26:26" x14ac:dyDescent="0.25">
      <c r="Z839">
        <v>837</v>
      </c>
    </row>
    <row r="840" spans="26:26" x14ac:dyDescent="0.25">
      <c r="Z840">
        <v>838</v>
      </c>
    </row>
    <row r="841" spans="26:26" x14ac:dyDescent="0.25">
      <c r="Z841">
        <v>839</v>
      </c>
    </row>
    <row r="842" spans="26:26" x14ac:dyDescent="0.25">
      <c r="Z842">
        <v>840</v>
      </c>
    </row>
    <row r="843" spans="26:26" x14ac:dyDescent="0.25">
      <c r="Z843">
        <v>841</v>
      </c>
    </row>
    <row r="844" spans="26:26" x14ac:dyDescent="0.25">
      <c r="Z844">
        <v>842</v>
      </c>
    </row>
    <row r="845" spans="26:26" x14ac:dyDescent="0.25">
      <c r="Z845">
        <v>843</v>
      </c>
    </row>
    <row r="846" spans="26:26" x14ac:dyDescent="0.25">
      <c r="Z846">
        <v>844</v>
      </c>
    </row>
    <row r="847" spans="26:26" x14ac:dyDescent="0.25">
      <c r="Z847">
        <v>845</v>
      </c>
    </row>
    <row r="848" spans="26:26" x14ac:dyDescent="0.25">
      <c r="Z848">
        <v>846</v>
      </c>
    </row>
    <row r="849" spans="26:26" x14ac:dyDescent="0.25">
      <c r="Z849">
        <v>847</v>
      </c>
    </row>
    <row r="850" spans="26:26" x14ac:dyDescent="0.25">
      <c r="Z850">
        <v>848</v>
      </c>
    </row>
    <row r="851" spans="26:26" x14ac:dyDescent="0.25">
      <c r="Z851">
        <v>849</v>
      </c>
    </row>
    <row r="852" spans="26:26" x14ac:dyDescent="0.25">
      <c r="Z852">
        <v>850</v>
      </c>
    </row>
    <row r="853" spans="26:26" x14ac:dyDescent="0.25">
      <c r="Z853">
        <v>851</v>
      </c>
    </row>
    <row r="854" spans="26:26" x14ac:dyDescent="0.25">
      <c r="Z854">
        <v>852</v>
      </c>
    </row>
    <row r="855" spans="26:26" x14ac:dyDescent="0.25">
      <c r="Z855">
        <v>853</v>
      </c>
    </row>
    <row r="856" spans="26:26" x14ac:dyDescent="0.25">
      <c r="Z856">
        <v>854</v>
      </c>
    </row>
    <row r="857" spans="26:26" x14ac:dyDescent="0.25">
      <c r="Z857">
        <v>855</v>
      </c>
    </row>
    <row r="858" spans="26:26" x14ac:dyDescent="0.25">
      <c r="Z858">
        <v>856</v>
      </c>
    </row>
    <row r="859" spans="26:26" x14ac:dyDescent="0.25">
      <c r="Z859">
        <v>857</v>
      </c>
    </row>
    <row r="860" spans="26:26" x14ac:dyDescent="0.25">
      <c r="Z860">
        <v>858</v>
      </c>
    </row>
    <row r="861" spans="26:26" x14ac:dyDescent="0.25">
      <c r="Z861">
        <v>859</v>
      </c>
    </row>
    <row r="862" spans="26:26" x14ac:dyDescent="0.25">
      <c r="Z862">
        <v>860</v>
      </c>
    </row>
    <row r="863" spans="26:26" x14ac:dyDescent="0.25">
      <c r="Z863">
        <v>861</v>
      </c>
    </row>
    <row r="864" spans="26:26" x14ac:dyDescent="0.25">
      <c r="Z864">
        <v>862</v>
      </c>
    </row>
    <row r="865" spans="26:26" x14ac:dyDescent="0.25">
      <c r="Z865">
        <v>863</v>
      </c>
    </row>
    <row r="866" spans="26:26" x14ac:dyDescent="0.25">
      <c r="Z866">
        <v>864</v>
      </c>
    </row>
    <row r="867" spans="26:26" x14ac:dyDescent="0.25">
      <c r="Z867">
        <v>865</v>
      </c>
    </row>
    <row r="868" spans="26:26" x14ac:dyDescent="0.25">
      <c r="Z868">
        <v>866</v>
      </c>
    </row>
    <row r="869" spans="26:26" x14ac:dyDescent="0.25">
      <c r="Z869">
        <v>867</v>
      </c>
    </row>
    <row r="870" spans="26:26" x14ac:dyDescent="0.25">
      <c r="Z870">
        <v>868</v>
      </c>
    </row>
    <row r="871" spans="26:26" x14ac:dyDescent="0.25">
      <c r="Z871">
        <v>869</v>
      </c>
    </row>
    <row r="872" spans="26:26" x14ac:dyDescent="0.25">
      <c r="Z872">
        <v>870</v>
      </c>
    </row>
    <row r="873" spans="26:26" x14ac:dyDescent="0.25">
      <c r="Z873">
        <v>871</v>
      </c>
    </row>
    <row r="874" spans="26:26" x14ac:dyDescent="0.25">
      <c r="Z874">
        <v>872</v>
      </c>
    </row>
    <row r="875" spans="26:26" x14ac:dyDescent="0.25">
      <c r="Z875">
        <v>873</v>
      </c>
    </row>
    <row r="876" spans="26:26" x14ac:dyDescent="0.25">
      <c r="Z876">
        <v>874</v>
      </c>
    </row>
    <row r="877" spans="26:26" x14ac:dyDescent="0.25">
      <c r="Z877">
        <v>875</v>
      </c>
    </row>
    <row r="878" spans="26:26" x14ac:dyDescent="0.25">
      <c r="Z878">
        <v>876</v>
      </c>
    </row>
    <row r="879" spans="26:26" x14ac:dyDescent="0.25">
      <c r="Z879">
        <v>877</v>
      </c>
    </row>
    <row r="880" spans="26:26" x14ac:dyDescent="0.25">
      <c r="Z880">
        <v>878</v>
      </c>
    </row>
    <row r="881" spans="26:26" x14ac:dyDescent="0.25">
      <c r="Z881">
        <v>879</v>
      </c>
    </row>
    <row r="882" spans="26:26" x14ac:dyDescent="0.25">
      <c r="Z882">
        <v>880</v>
      </c>
    </row>
    <row r="883" spans="26:26" x14ac:dyDescent="0.25">
      <c r="Z883">
        <v>881</v>
      </c>
    </row>
    <row r="884" spans="26:26" x14ac:dyDescent="0.25">
      <c r="Z884">
        <v>882</v>
      </c>
    </row>
    <row r="885" spans="26:26" x14ac:dyDescent="0.25">
      <c r="Z885">
        <v>883</v>
      </c>
    </row>
    <row r="886" spans="26:26" x14ac:dyDescent="0.25">
      <c r="Z886">
        <v>884</v>
      </c>
    </row>
    <row r="887" spans="26:26" x14ac:dyDescent="0.25">
      <c r="Z887">
        <v>885</v>
      </c>
    </row>
    <row r="888" spans="26:26" x14ac:dyDescent="0.25">
      <c r="Z888">
        <v>886</v>
      </c>
    </row>
    <row r="889" spans="26:26" x14ac:dyDescent="0.25">
      <c r="Z889">
        <v>887</v>
      </c>
    </row>
    <row r="890" spans="26:26" x14ac:dyDescent="0.25">
      <c r="Z890">
        <v>888</v>
      </c>
    </row>
    <row r="891" spans="26:26" x14ac:dyDescent="0.25">
      <c r="Z891">
        <v>889</v>
      </c>
    </row>
    <row r="892" spans="26:26" x14ac:dyDescent="0.25">
      <c r="Z892">
        <v>890</v>
      </c>
    </row>
    <row r="893" spans="26:26" x14ac:dyDescent="0.25">
      <c r="Z893">
        <v>891</v>
      </c>
    </row>
    <row r="894" spans="26:26" x14ac:dyDescent="0.25">
      <c r="Z894">
        <v>892</v>
      </c>
    </row>
    <row r="895" spans="26:26" x14ac:dyDescent="0.25">
      <c r="Z895">
        <v>893</v>
      </c>
    </row>
    <row r="896" spans="26:26" x14ac:dyDescent="0.25">
      <c r="Z896">
        <v>894</v>
      </c>
    </row>
    <row r="897" spans="26:26" x14ac:dyDescent="0.25">
      <c r="Z897">
        <v>895</v>
      </c>
    </row>
    <row r="898" spans="26:26" x14ac:dyDescent="0.25">
      <c r="Z898">
        <v>896</v>
      </c>
    </row>
    <row r="899" spans="26:26" x14ac:dyDescent="0.25">
      <c r="Z899">
        <v>897</v>
      </c>
    </row>
    <row r="900" spans="26:26" x14ac:dyDescent="0.25">
      <c r="Z900">
        <v>898</v>
      </c>
    </row>
    <row r="901" spans="26:26" x14ac:dyDescent="0.25">
      <c r="Z901">
        <v>899</v>
      </c>
    </row>
    <row r="902" spans="26:26" x14ac:dyDescent="0.25">
      <c r="Z902">
        <v>900</v>
      </c>
    </row>
    <row r="903" spans="26:26" x14ac:dyDescent="0.25">
      <c r="Z903">
        <v>901</v>
      </c>
    </row>
    <row r="904" spans="26:26" x14ac:dyDescent="0.25">
      <c r="Z904">
        <v>902</v>
      </c>
    </row>
    <row r="905" spans="26:26" x14ac:dyDescent="0.25">
      <c r="Z905">
        <v>903</v>
      </c>
    </row>
    <row r="906" spans="26:26" x14ac:dyDescent="0.25">
      <c r="Z906">
        <v>904</v>
      </c>
    </row>
    <row r="907" spans="26:26" x14ac:dyDescent="0.25">
      <c r="Z907">
        <v>905</v>
      </c>
    </row>
    <row r="908" spans="26:26" x14ac:dyDescent="0.25">
      <c r="Z908">
        <v>906</v>
      </c>
    </row>
    <row r="909" spans="26:26" x14ac:dyDescent="0.25">
      <c r="Z909">
        <v>907</v>
      </c>
    </row>
    <row r="910" spans="26:26" x14ac:dyDescent="0.25">
      <c r="Z910">
        <v>908</v>
      </c>
    </row>
    <row r="911" spans="26:26" x14ac:dyDescent="0.25">
      <c r="Z911">
        <v>909</v>
      </c>
    </row>
    <row r="912" spans="26:26" x14ac:dyDescent="0.25">
      <c r="Z912">
        <v>910</v>
      </c>
    </row>
    <row r="913" spans="26:26" x14ac:dyDescent="0.25">
      <c r="Z913">
        <v>911</v>
      </c>
    </row>
    <row r="914" spans="26:26" x14ac:dyDescent="0.25">
      <c r="Z914">
        <v>912</v>
      </c>
    </row>
    <row r="915" spans="26:26" x14ac:dyDescent="0.25">
      <c r="Z915">
        <v>913</v>
      </c>
    </row>
    <row r="916" spans="26:26" x14ac:dyDescent="0.25">
      <c r="Z916">
        <v>914</v>
      </c>
    </row>
    <row r="917" spans="26:26" x14ac:dyDescent="0.25">
      <c r="Z917">
        <v>915</v>
      </c>
    </row>
    <row r="918" spans="26:26" x14ac:dyDescent="0.25">
      <c r="Z918">
        <v>916</v>
      </c>
    </row>
    <row r="919" spans="26:26" x14ac:dyDescent="0.25">
      <c r="Z919">
        <v>917</v>
      </c>
    </row>
    <row r="920" spans="26:26" x14ac:dyDescent="0.25">
      <c r="Z920">
        <v>918</v>
      </c>
    </row>
    <row r="921" spans="26:26" x14ac:dyDescent="0.25">
      <c r="Z921">
        <v>919</v>
      </c>
    </row>
    <row r="922" spans="26:26" x14ac:dyDescent="0.25">
      <c r="Z922">
        <v>920</v>
      </c>
    </row>
    <row r="923" spans="26:26" x14ac:dyDescent="0.25">
      <c r="Z923">
        <v>921</v>
      </c>
    </row>
    <row r="924" spans="26:26" x14ac:dyDescent="0.25">
      <c r="Z924">
        <v>922</v>
      </c>
    </row>
    <row r="925" spans="26:26" x14ac:dyDescent="0.25">
      <c r="Z925">
        <v>923</v>
      </c>
    </row>
    <row r="926" spans="26:26" x14ac:dyDescent="0.25">
      <c r="Z926">
        <v>924</v>
      </c>
    </row>
    <row r="927" spans="26:26" x14ac:dyDescent="0.25">
      <c r="Z927">
        <v>925</v>
      </c>
    </row>
    <row r="928" spans="26:26" x14ac:dyDescent="0.25">
      <c r="Z928">
        <v>926</v>
      </c>
    </row>
    <row r="929" spans="26:26" x14ac:dyDescent="0.25">
      <c r="Z929">
        <v>927</v>
      </c>
    </row>
    <row r="930" spans="26:26" x14ac:dyDescent="0.25">
      <c r="Z930">
        <v>928</v>
      </c>
    </row>
    <row r="931" spans="26:26" x14ac:dyDescent="0.25">
      <c r="Z931">
        <v>929</v>
      </c>
    </row>
    <row r="932" spans="26:26" x14ac:dyDescent="0.25">
      <c r="Z932">
        <v>930</v>
      </c>
    </row>
    <row r="933" spans="26:26" x14ac:dyDescent="0.25">
      <c r="Z933">
        <v>931</v>
      </c>
    </row>
    <row r="934" spans="26:26" x14ac:dyDescent="0.25">
      <c r="Z934">
        <v>932</v>
      </c>
    </row>
    <row r="935" spans="26:26" x14ac:dyDescent="0.25">
      <c r="Z935">
        <v>933</v>
      </c>
    </row>
    <row r="936" spans="26:26" x14ac:dyDescent="0.25">
      <c r="Z936">
        <v>934</v>
      </c>
    </row>
    <row r="937" spans="26:26" x14ac:dyDescent="0.25">
      <c r="Z937">
        <v>935</v>
      </c>
    </row>
    <row r="938" spans="26:26" x14ac:dyDescent="0.25">
      <c r="Z938">
        <v>936</v>
      </c>
    </row>
    <row r="939" spans="26:26" x14ac:dyDescent="0.25">
      <c r="Z939">
        <v>937</v>
      </c>
    </row>
    <row r="940" spans="26:26" x14ac:dyDescent="0.25">
      <c r="Z940">
        <v>938</v>
      </c>
    </row>
    <row r="941" spans="26:26" x14ac:dyDescent="0.25">
      <c r="Z941">
        <v>939</v>
      </c>
    </row>
    <row r="942" spans="26:26" x14ac:dyDescent="0.25">
      <c r="Z942">
        <v>940</v>
      </c>
    </row>
    <row r="943" spans="26:26" x14ac:dyDescent="0.25">
      <c r="Z943">
        <v>941</v>
      </c>
    </row>
    <row r="944" spans="26:26" x14ac:dyDescent="0.25">
      <c r="Z944">
        <v>942</v>
      </c>
    </row>
    <row r="945" spans="26:26" x14ac:dyDescent="0.25">
      <c r="Z945">
        <v>943</v>
      </c>
    </row>
    <row r="946" spans="26:26" x14ac:dyDescent="0.25">
      <c r="Z946">
        <v>944</v>
      </c>
    </row>
    <row r="947" spans="26:26" x14ac:dyDescent="0.25">
      <c r="Z947">
        <v>945</v>
      </c>
    </row>
    <row r="948" spans="26:26" x14ac:dyDescent="0.25">
      <c r="Z948">
        <v>946</v>
      </c>
    </row>
    <row r="949" spans="26:26" x14ac:dyDescent="0.25">
      <c r="Z949">
        <v>947</v>
      </c>
    </row>
    <row r="950" spans="26:26" x14ac:dyDescent="0.25">
      <c r="Z950">
        <v>948</v>
      </c>
    </row>
    <row r="951" spans="26:26" x14ac:dyDescent="0.25">
      <c r="Z951">
        <v>949</v>
      </c>
    </row>
    <row r="952" spans="26:26" x14ac:dyDescent="0.25">
      <c r="Z952">
        <v>950</v>
      </c>
    </row>
    <row r="953" spans="26:26" x14ac:dyDescent="0.25">
      <c r="Z953">
        <v>951</v>
      </c>
    </row>
    <row r="954" spans="26:26" x14ac:dyDescent="0.25">
      <c r="Z954">
        <v>952</v>
      </c>
    </row>
    <row r="955" spans="26:26" x14ac:dyDescent="0.25">
      <c r="Z955">
        <v>953</v>
      </c>
    </row>
    <row r="956" spans="26:26" x14ac:dyDescent="0.25">
      <c r="Z956">
        <v>954</v>
      </c>
    </row>
    <row r="957" spans="26:26" x14ac:dyDescent="0.25">
      <c r="Z957">
        <v>955</v>
      </c>
    </row>
    <row r="958" spans="26:26" x14ac:dyDescent="0.25">
      <c r="Z958">
        <v>956</v>
      </c>
    </row>
    <row r="959" spans="26:26" x14ac:dyDescent="0.25">
      <c r="Z959">
        <v>957</v>
      </c>
    </row>
    <row r="960" spans="26:26" x14ac:dyDescent="0.25">
      <c r="Z960">
        <v>958</v>
      </c>
    </row>
    <row r="961" spans="26:26" x14ac:dyDescent="0.25">
      <c r="Z961">
        <v>959</v>
      </c>
    </row>
    <row r="962" spans="26:26" x14ac:dyDescent="0.25">
      <c r="Z962">
        <v>960</v>
      </c>
    </row>
    <row r="963" spans="26:26" x14ac:dyDescent="0.25">
      <c r="Z963">
        <v>961</v>
      </c>
    </row>
    <row r="964" spans="26:26" x14ac:dyDescent="0.25">
      <c r="Z964">
        <v>962</v>
      </c>
    </row>
    <row r="965" spans="26:26" x14ac:dyDescent="0.25">
      <c r="Z965">
        <v>963</v>
      </c>
    </row>
    <row r="966" spans="26:26" x14ac:dyDescent="0.25">
      <c r="Z966">
        <v>964</v>
      </c>
    </row>
    <row r="967" spans="26:26" x14ac:dyDescent="0.25">
      <c r="Z967">
        <v>965</v>
      </c>
    </row>
    <row r="968" spans="26:26" x14ac:dyDescent="0.25">
      <c r="Z968">
        <v>966</v>
      </c>
    </row>
    <row r="969" spans="26:26" x14ac:dyDescent="0.25">
      <c r="Z969">
        <v>967</v>
      </c>
    </row>
    <row r="970" spans="26:26" x14ac:dyDescent="0.25">
      <c r="Z970">
        <v>968</v>
      </c>
    </row>
    <row r="971" spans="26:26" x14ac:dyDescent="0.25">
      <c r="Z971">
        <v>969</v>
      </c>
    </row>
    <row r="972" spans="26:26" x14ac:dyDescent="0.25">
      <c r="Z972">
        <v>970</v>
      </c>
    </row>
    <row r="973" spans="26:26" x14ac:dyDescent="0.25">
      <c r="Z973">
        <v>971</v>
      </c>
    </row>
    <row r="974" spans="26:26" x14ac:dyDescent="0.25">
      <c r="Z974">
        <v>972</v>
      </c>
    </row>
    <row r="975" spans="26:26" x14ac:dyDescent="0.25">
      <c r="Z975">
        <v>973</v>
      </c>
    </row>
    <row r="976" spans="26:26" x14ac:dyDescent="0.25">
      <c r="Z976">
        <v>974</v>
      </c>
    </row>
    <row r="977" spans="26:26" x14ac:dyDescent="0.25">
      <c r="Z977">
        <v>975</v>
      </c>
    </row>
    <row r="978" spans="26:26" x14ac:dyDescent="0.25">
      <c r="Z978">
        <v>976</v>
      </c>
    </row>
    <row r="979" spans="26:26" x14ac:dyDescent="0.25">
      <c r="Z979">
        <v>977</v>
      </c>
    </row>
    <row r="980" spans="26:26" x14ac:dyDescent="0.25">
      <c r="Z980">
        <v>978</v>
      </c>
    </row>
    <row r="981" spans="26:26" x14ac:dyDescent="0.25">
      <c r="Z981">
        <v>979</v>
      </c>
    </row>
    <row r="982" spans="26:26" x14ac:dyDescent="0.25">
      <c r="Z982">
        <v>980</v>
      </c>
    </row>
    <row r="983" spans="26:26" x14ac:dyDescent="0.25">
      <c r="Z983">
        <v>981</v>
      </c>
    </row>
    <row r="984" spans="26:26" x14ac:dyDescent="0.25">
      <c r="Z984">
        <v>982</v>
      </c>
    </row>
    <row r="985" spans="26:26" x14ac:dyDescent="0.25">
      <c r="Z985">
        <v>983</v>
      </c>
    </row>
    <row r="986" spans="26:26" x14ac:dyDescent="0.25">
      <c r="Z986">
        <v>984</v>
      </c>
    </row>
    <row r="987" spans="26:26" x14ac:dyDescent="0.25">
      <c r="Z987">
        <v>985</v>
      </c>
    </row>
    <row r="988" spans="26:26" x14ac:dyDescent="0.25">
      <c r="Z988">
        <v>986</v>
      </c>
    </row>
    <row r="989" spans="26:26" x14ac:dyDescent="0.25">
      <c r="Z989">
        <v>987</v>
      </c>
    </row>
    <row r="990" spans="26:26" x14ac:dyDescent="0.25">
      <c r="Z990">
        <v>988</v>
      </c>
    </row>
    <row r="991" spans="26:26" x14ac:dyDescent="0.25">
      <c r="Z991">
        <v>989</v>
      </c>
    </row>
    <row r="992" spans="26:26" x14ac:dyDescent="0.25">
      <c r="Z992">
        <v>990</v>
      </c>
    </row>
    <row r="993" spans="26:26" x14ac:dyDescent="0.25">
      <c r="Z993">
        <v>991</v>
      </c>
    </row>
    <row r="994" spans="26:26" x14ac:dyDescent="0.25">
      <c r="Z994">
        <v>992</v>
      </c>
    </row>
    <row r="995" spans="26:26" x14ac:dyDescent="0.25">
      <c r="Z995">
        <v>993</v>
      </c>
    </row>
    <row r="996" spans="26:26" x14ac:dyDescent="0.25">
      <c r="Z996">
        <v>994</v>
      </c>
    </row>
    <row r="997" spans="26:26" x14ac:dyDescent="0.25">
      <c r="Z997">
        <v>995</v>
      </c>
    </row>
    <row r="998" spans="26:26" x14ac:dyDescent="0.25">
      <c r="Z998">
        <v>996</v>
      </c>
    </row>
    <row r="999" spans="26:26" x14ac:dyDescent="0.25">
      <c r="Z999">
        <v>997</v>
      </c>
    </row>
    <row r="1000" spans="26:26" x14ac:dyDescent="0.25">
      <c r="Z1000">
        <v>998</v>
      </c>
    </row>
    <row r="1001" spans="26:26" x14ac:dyDescent="0.25">
      <c r="Z1001">
        <v>999</v>
      </c>
    </row>
    <row r="1002" spans="26:26" x14ac:dyDescent="0.25">
      <c r="Z1002">
        <v>1000</v>
      </c>
    </row>
  </sheetData>
  <mergeCells count="120">
    <mergeCell ref="I3:K3"/>
    <mergeCell ref="I5:K5"/>
    <mergeCell ref="I6:K6"/>
    <mergeCell ref="I7:K7"/>
    <mergeCell ref="I9:K9"/>
    <mergeCell ref="I11:K11"/>
    <mergeCell ref="A1:K2"/>
    <mergeCell ref="L1:Y2"/>
    <mergeCell ref="I32:K32"/>
    <mergeCell ref="I24:K24"/>
    <mergeCell ref="I25:K25"/>
    <mergeCell ref="I26:K26"/>
    <mergeCell ref="I16:K16"/>
    <mergeCell ref="I17:K17"/>
    <mergeCell ref="I18:K18"/>
    <mergeCell ref="A6:E6"/>
    <mergeCell ref="A13:E13"/>
    <mergeCell ref="A3:E3"/>
    <mergeCell ref="A28:E28"/>
    <mergeCell ref="A29:E29"/>
    <mergeCell ref="A32:E32"/>
    <mergeCell ref="G3:H3"/>
    <mergeCell ref="A4:K4"/>
    <mergeCell ref="A14:K14"/>
    <mergeCell ref="A15:K15"/>
    <mergeCell ref="G13:H13"/>
    <mergeCell ref="A8:K8"/>
    <mergeCell ref="G25:H25"/>
    <mergeCell ref="G26:H26"/>
    <mergeCell ref="G30:H30"/>
    <mergeCell ref="A5:E5"/>
    <mergeCell ref="A7:E7"/>
    <mergeCell ref="A9:E9"/>
    <mergeCell ref="A10:E10"/>
    <mergeCell ref="A11:E11"/>
    <mergeCell ref="A12:E12"/>
    <mergeCell ref="G9:H9"/>
    <mergeCell ref="G5:H5"/>
    <mergeCell ref="A30:E30"/>
    <mergeCell ref="A21:E21"/>
    <mergeCell ref="I19:K19"/>
    <mergeCell ref="I20:K20"/>
    <mergeCell ref="I21:K21"/>
    <mergeCell ref="I12:K12"/>
    <mergeCell ref="I10:K10"/>
    <mergeCell ref="A45:K45"/>
    <mergeCell ref="P47:Q47"/>
    <mergeCell ref="P48:Q48"/>
    <mergeCell ref="L46:Y46"/>
    <mergeCell ref="A24:E24"/>
    <mergeCell ref="A25:E25"/>
    <mergeCell ref="A26:E26"/>
    <mergeCell ref="A27:E27"/>
    <mergeCell ref="A22:E22"/>
    <mergeCell ref="G22:H22"/>
    <mergeCell ref="I27:K27"/>
    <mergeCell ref="I28:K28"/>
    <mergeCell ref="I29:K29"/>
    <mergeCell ref="I30:K30"/>
    <mergeCell ref="I22:K22"/>
    <mergeCell ref="I33:K33"/>
    <mergeCell ref="I34:K34"/>
    <mergeCell ref="I35:K35"/>
    <mergeCell ref="I36:K36"/>
    <mergeCell ref="I37:K37"/>
    <mergeCell ref="G38:H38"/>
    <mergeCell ref="G33:H33"/>
    <mergeCell ref="G34:H34"/>
    <mergeCell ref="A33:E33"/>
    <mergeCell ref="A38:E38"/>
    <mergeCell ref="A52:D52"/>
    <mergeCell ref="A53:D53"/>
    <mergeCell ref="G27:H27"/>
    <mergeCell ref="G35:H35"/>
    <mergeCell ref="G36:H36"/>
    <mergeCell ref="G28:H28"/>
    <mergeCell ref="A31:K31"/>
    <mergeCell ref="A51:D51"/>
    <mergeCell ref="A35:E35"/>
    <mergeCell ref="A36:E36"/>
    <mergeCell ref="A37:E37"/>
    <mergeCell ref="I38:K38"/>
    <mergeCell ref="A41:Y42"/>
    <mergeCell ref="A39:Y40"/>
    <mergeCell ref="A43:K44"/>
    <mergeCell ref="L43:Y44"/>
    <mergeCell ref="L45:Y45"/>
    <mergeCell ref="A48:D48"/>
    <mergeCell ref="A49:D49"/>
    <mergeCell ref="G46:H46"/>
    <mergeCell ref="G47:H47"/>
    <mergeCell ref="G48:H48"/>
    <mergeCell ref="G49:H49"/>
    <mergeCell ref="G7:H7"/>
    <mergeCell ref="G6:H6"/>
    <mergeCell ref="G29:H29"/>
    <mergeCell ref="G37:H37"/>
    <mergeCell ref="G19:H19"/>
    <mergeCell ref="G20:H20"/>
    <mergeCell ref="A19:E19"/>
    <mergeCell ref="A20:E20"/>
    <mergeCell ref="G17:H17"/>
    <mergeCell ref="G18:H18"/>
    <mergeCell ref="A34:E34"/>
    <mergeCell ref="A23:K23"/>
    <mergeCell ref="G21:H21"/>
    <mergeCell ref="A16:E16"/>
    <mergeCell ref="A17:E17"/>
    <mergeCell ref="A18:E18"/>
    <mergeCell ref="I13:K13"/>
    <mergeCell ref="L49:Y49"/>
    <mergeCell ref="P50:Q50"/>
    <mergeCell ref="P51:Q51"/>
    <mergeCell ref="A54:D54"/>
    <mergeCell ref="A50:D50"/>
    <mergeCell ref="A46:D46"/>
    <mergeCell ref="A55:D55"/>
    <mergeCell ref="A56:D56"/>
    <mergeCell ref="A57:D57"/>
    <mergeCell ref="A47:D4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07FE5-38DE-45E6-AB15-33BBBCC54F9C}">
  <dimension ref="A1:L2"/>
  <sheetViews>
    <sheetView workbookViewId="0">
      <selection activeCell="E10" sqref="E10"/>
    </sheetView>
  </sheetViews>
  <sheetFormatPr baseColWidth="10" defaultRowHeight="15" x14ac:dyDescent="0.25"/>
  <sheetData>
    <row r="1" spans="1:12" x14ac:dyDescent="0.25">
      <c r="A1" s="80" t="s">
        <v>31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</row>
    <row r="2" spans="1:12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</row>
  </sheetData>
  <mergeCells count="1">
    <mergeCell ref="A1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 C.I. et Trajectoire</vt:lpstr>
      <vt:lpstr>Simulation en mouvement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2015-06-05T18:19:34Z</dcterms:created>
  <dcterms:modified xsi:type="dcterms:W3CDTF">2022-12-19T22:08:31Z</dcterms:modified>
</cp:coreProperties>
</file>